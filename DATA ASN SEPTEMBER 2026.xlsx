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ownloads\Telegram Desktop\"/>
    </mc:Choice>
  </mc:AlternateContent>
  <xr:revisionPtr revIDLastSave="0" documentId="13_ncr:1_{5795ACF5-CF7E-4504-9E27-8D3DA0946049}" xr6:coauthVersionLast="47" xr6:coauthVersionMax="47" xr10:uidLastSave="{00000000-0000-0000-0000-000000000000}"/>
  <bookViews>
    <workbookView xWindow="-108" yWindow="-108" windowWidth="23256" windowHeight="13176" activeTab="4" xr2:uid="{91A7ABA3-2F1B-4485-A753-2B5D865C356E}"/>
  </bookViews>
  <sheets>
    <sheet name="REKAP" sheetId="6" r:id="rId1"/>
    <sheet name="Lembar1" sheetId="12" r:id="rId2"/>
    <sheet name="STRUKTURAL" sheetId="1" r:id="rId3"/>
    <sheet name="FUNGSIONAL" sheetId="2" r:id="rId4"/>
    <sheet name="PELAKSANA" sheetId="3" r:id="rId5"/>
    <sheet name="PARUH WAKTU" sheetId="4" r:id="rId6"/>
    <sheet name="PENSIUN DAN MUTASI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2" l="1"/>
  <c r="D36" i="6"/>
  <c r="C36" i="6"/>
  <c r="C42" i="12"/>
  <c r="E7" i="12" l="1"/>
  <c r="D8" i="12"/>
  <c r="C8" i="12"/>
  <c r="K73" i="6"/>
  <c r="G59" i="6"/>
  <c r="G58" i="6"/>
  <c r="G57" i="6"/>
  <c r="G56" i="6"/>
  <c r="G54" i="6"/>
  <c r="G53" i="6"/>
  <c r="G55" i="6"/>
  <c r="G73" i="6" s="1"/>
  <c r="E73" i="6"/>
  <c r="F73" i="6"/>
  <c r="D45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17" i="6"/>
  <c r="P12" i="6"/>
  <c r="P15" i="6" s="1"/>
  <c r="J47" i="6"/>
  <c r="K47" i="6"/>
  <c r="M47" i="6"/>
  <c r="L47" i="6"/>
  <c r="L34" i="6"/>
  <c r="L35" i="6"/>
  <c r="L33" i="6"/>
  <c r="L26" i="6"/>
  <c r="K26" i="6"/>
  <c r="J26" i="6"/>
  <c r="K37" i="6"/>
  <c r="J37" i="6"/>
  <c r="N15" i="6"/>
  <c r="M15" i="6"/>
  <c r="K15" i="6"/>
  <c r="J15" i="6"/>
  <c r="C45" i="6"/>
  <c r="F43" i="6"/>
  <c r="F42" i="6"/>
  <c r="F36" i="6" l="1"/>
  <c r="E8" i="12"/>
  <c r="L37" i="6"/>
  <c r="D8" i="6"/>
  <c r="C8" i="6"/>
  <c r="F7" i="6"/>
  <c r="F6" i="6"/>
  <c r="F8" i="6" s="1"/>
  <c r="F44" i="6" l="1"/>
  <c r="F45" i="6" s="1"/>
</calcChain>
</file>

<file path=xl/sharedStrings.xml><?xml version="1.0" encoding="utf-8"?>
<sst xmlns="http://schemas.openxmlformats.org/spreadsheetml/2006/main" count="2906" uniqueCount="771">
  <si>
    <t>No</t>
  </si>
  <si>
    <t>NIP</t>
  </si>
  <si>
    <t>Jenis Kelamin</t>
  </si>
  <si>
    <t>Golongan Ruang</t>
  </si>
  <si>
    <t>Pendidikan</t>
  </si>
  <si>
    <t>Eselon</t>
  </si>
  <si>
    <t>Nama Jabatan</t>
  </si>
  <si>
    <t>Riwayat Dilkat PIM</t>
  </si>
  <si>
    <t>Nama Satuan Kerja</t>
  </si>
  <si>
    <t>PIM II</t>
  </si>
  <si>
    <t>PIM III</t>
  </si>
  <si>
    <t>PIM IV</t>
  </si>
  <si>
    <t>L</t>
  </si>
  <si>
    <t>IV/b</t>
  </si>
  <si>
    <t>S1 / D4</t>
  </si>
  <si>
    <t>II.a</t>
  </si>
  <si>
    <t>DINAS TENAGA KERJA DAN TRANSMIGRASI</t>
  </si>
  <si>
    <t>FIRDAUS MG. ABD.KARIM, SH.,M.Si</t>
  </si>
  <si>
    <t>S2</t>
  </si>
  <si>
    <t>III.a</t>
  </si>
  <si>
    <t>SEKRETARIS DINAS</t>
  </si>
  <si>
    <t>SUDAH</t>
  </si>
  <si>
    <t>IRFANDY, SE</t>
  </si>
  <si>
    <t>III/d</t>
  </si>
  <si>
    <t>IV.a</t>
  </si>
  <si>
    <t>KEPALA SUB BAGIAN PROGRAM</t>
  </si>
  <si>
    <t>RIDWAN THAYEB, SH</t>
  </si>
  <si>
    <t>KEPALA SUB BAGIAN KEUANGAN DAN ASSET</t>
  </si>
  <si>
    <t>Drs. I L Y A S, M.AP</t>
  </si>
  <si>
    <t>IV/a</t>
  </si>
  <si>
    <t>KEPALA SUB BAGIAN KEPEGAWAIAN DAN UMUM</t>
  </si>
  <si>
    <t>BELUM</t>
  </si>
  <si>
    <t>Drs. ABRAHAM TADANUGI, M.Si</t>
  </si>
  <si>
    <t>KEPALA BIDANG PEMBINAAN PELATIHAN PERLUASAN PENEMPATAN DAN PRODUKTIVITAS TENAGA KERJA</t>
  </si>
  <si>
    <t>LISNAWATI.Z.MADE, ST.,MM</t>
  </si>
  <si>
    <t>P</t>
  </si>
  <si>
    <t>KEPALA SEKSI PENEMPATAN DAN PERLUASAN KESEMPATAN KERJA</t>
  </si>
  <si>
    <t>DARMAWATY, S.Pdi</t>
  </si>
  <si>
    <t>KEPALA SEKSI PENEMPAT AN DAN PERLINDUNGAN PEKERJA MIGRAN INDONESIA</t>
  </si>
  <si>
    <t>M. MIRZA LESNUSA, S.Sos, M.Si.</t>
  </si>
  <si>
    <t>KEPALA BIDANG PEMBINAAN HUBUNGAN INDUSTRIAL DAN PENGAWASAN KETENAGAKERJAAN</t>
  </si>
  <si>
    <t>RIFAIN, SH, M.Si</t>
  </si>
  <si>
    <t>KEPALA SEKSI SYARAT KERJA, PENGUPAHAN DAN JAMINAN SOSIAL</t>
  </si>
  <si>
    <t>ANDI TENRI ULENG SAID,SH,M.Si</t>
  </si>
  <si>
    <t>KEPALA SEKSI PEMBINAAN ORGANISASI HUBUNGAN INDUSTRIAL</t>
  </si>
  <si>
    <t>SOFYAN, S.Sos, M.Si.</t>
  </si>
  <si>
    <t>KEPALA BIDANG PERENCANAAN KAWASAN TRANSMIGRASI</t>
  </si>
  <si>
    <t>RAHMAWATI, S.E, M.M</t>
  </si>
  <si>
    <t>KEPALA SEKSI PENYEDIAAN TANAH DAN PELAYANAN PERTANAHAN TRANSMIGRASI</t>
  </si>
  <si>
    <t>AGUS SALIM, SE</t>
  </si>
  <si>
    <t>KEPALA SEKSI PEMBINAAN POTENSI KAWASAN TRANSMIGRASI</t>
  </si>
  <si>
    <t>DORKAS, ST.,M.Si</t>
  </si>
  <si>
    <t>KEPALA BIDANG PEMBANGUN AN KAWASAN TRANSMIGRASI DAN PENATAAN PERSEBARAN PENDUDUK</t>
  </si>
  <si>
    <t>SOFIAN, SH</t>
  </si>
  <si>
    <t>KEPALA SEKSI PENYIAPAN PRASARANA DAN SARANA PERMUKIMAN DAN KAWASAN TRANSMIGRASI</t>
  </si>
  <si>
    <t>ANDI MURFIQIEN LATJUBA,S.STP, M.AP</t>
  </si>
  <si>
    <t>KEPALA SEKSI PENATAAN PERSEBARAN PENDUDUK</t>
  </si>
  <si>
    <t>I D R I S, SH</t>
  </si>
  <si>
    <t>KEPALA BIDANG PENGEMBANGAN KAWASAN TRANSMIGRASI DAERAH TERTINGGAL DAN DAERAH TERTENTU</t>
  </si>
  <si>
    <t>ATIK ANDRIANA, SP, MP</t>
  </si>
  <si>
    <t>KEPALA SEKSI PENGEMBANGAN EKONOMI DAN SDM MASYARAKAT TRANSMIGRASI, DAERAH TERTINGGAL DAN DAERAH TERTENTU</t>
  </si>
  <si>
    <t>MEDI, ST, M.A.P</t>
  </si>
  <si>
    <t>KEPALA SEKSI EVALUASI PERKEMBANGAN PERMUKIMAN KAWASAN TRANSMIGRASI DAN SARANA PRASARANA DAERAH TERTINGGAL SERTA DAERAH TERTENTU</t>
  </si>
  <si>
    <t>INDRAJAYA, S.Sos, MM</t>
  </si>
  <si>
    <t>III.b</t>
  </si>
  <si>
    <t>KEPALA UPT. PENGAWASAN KETENAGAKERJAAN</t>
  </si>
  <si>
    <t>NURFAIDAH, S.Pt</t>
  </si>
  <si>
    <t>KEPALA SUB BAGIAN TATA USAHA UPT. PENGAWASAN KETENAGAKERJAAN WILAYAH I</t>
  </si>
  <si>
    <t>MASNAH, S.Hut, M.Si</t>
  </si>
  <si>
    <t>KEPALA SEKSI PENGAWASAN NORMA KERJA WILAYAH I</t>
  </si>
  <si>
    <t>MUHAMMAD IRFAN AKIB, ST. M.Si</t>
  </si>
  <si>
    <t>KEPALA SEKSI PENGAWASAN NORMA K3 UPT WASNAKER WILAYAH I</t>
  </si>
  <si>
    <t>YAUMI TASRIQ BADUDDIN, SE</t>
  </si>
  <si>
    <t>YUSWADI, S.Sos. MAP.</t>
  </si>
  <si>
    <t>KEPALA SUB BAGIAN TATA USAHA UPT WASNAKER WILAYAH II</t>
  </si>
  <si>
    <t>BENNY, SH</t>
  </si>
  <si>
    <t>KEPALA SEKSI PENGAWASAN NORMA KERJA WILAYAH II</t>
  </si>
  <si>
    <t>SITI KURSIA TOKUASA, S.KM</t>
  </si>
  <si>
    <t>KEPALA SEKSI PENGAWASAN NORMA K3 UPT WASNAKER WILAYAH II</t>
  </si>
  <si>
    <t>A. DATA PEJABAT STRUKTURAL</t>
  </si>
  <si>
    <t>B. DATA PEJABAT FUNGSIONAL</t>
  </si>
  <si>
    <t>Nama Lengkap</t>
  </si>
  <si>
    <t>Jenis Pegawai</t>
  </si>
  <si>
    <t>Jenjang Jabatan Fungsional</t>
  </si>
  <si>
    <t>Nama Unit Kerja</t>
  </si>
  <si>
    <t>Ket</t>
  </si>
  <si>
    <t>MUHAMMAD RIFAI NASILA, S.Kom</t>
  </si>
  <si>
    <t>PPPK</t>
  </si>
  <si>
    <t>IX</t>
  </si>
  <si>
    <t>Ahli Pertama</t>
  </si>
  <si>
    <t>PRANATA KOMPUTER</t>
  </si>
  <si>
    <t>SUB BAGIAN PROGRAM</t>
  </si>
  <si>
    <t>SARIFAH NUR, S.Sos</t>
  </si>
  <si>
    <t>ARSIPARIS</t>
  </si>
  <si>
    <t>SUB BAGIAN KEPEGAWAIAN</t>
  </si>
  <si>
    <t>FEBRIYANTI, SE</t>
  </si>
  <si>
    <t>FELLA VESTRY KOLUPE, SE</t>
  </si>
  <si>
    <t>INSTRUKTUR</t>
  </si>
  <si>
    <t>BIDANG PEMBINAAN PELATIHAN PERLUASAN PENEMPATAN DAN PRODUKTIVITAS TENAGA KERJA</t>
  </si>
  <si>
    <t>IZAWATI, SE</t>
  </si>
  <si>
    <t>HARI MURTI KRIDA LAKSANA, S.E</t>
  </si>
  <si>
    <t>ACHMAD, SE</t>
  </si>
  <si>
    <t>INTJE MISKARIA PASAU, S.Sos</t>
  </si>
  <si>
    <t>PENGANTAR KERJA</t>
  </si>
  <si>
    <t>YUSTIANINGSIH, S.Sos</t>
  </si>
  <si>
    <t>KRISTIAN PABETA, ST.M.Ars</t>
  </si>
  <si>
    <t>PNS</t>
  </si>
  <si>
    <t>III/c</t>
  </si>
  <si>
    <t>Ahli Muda</t>
  </si>
  <si>
    <t>WAHYUDI, S.Sos</t>
  </si>
  <si>
    <t>III/a</t>
  </si>
  <si>
    <t>MEDIATOR HUBUNGAN INDUSTRIAL</t>
  </si>
  <si>
    <t>SEKSI PEMBINAAN ORGANISAI HUBUNGAN INDUSTRIAL</t>
  </si>
  <si>
    <t>MOHAMMAD SABRI ABDUL KARIM, SE.MM</t>
  </si>
  <si>
    <t>BIDANG PEMBINAAN HUBUNGAN INDUSTRIAL DAN PENGAWASAN KETENAGAKERJAAN (PHI &amp; WASNAKER)</t>
  </si>
  <si>
    <t>AFRIANDY BANGKA, SH</t>
  </si>
  <si>
    <t>DARWIS, SH</t>
  </si>
  <si>
    <t>III/b</t>
  </si>
  <si>
    <t>PENGAWAS KETENAGAKERJAAN</t>
  </si>
  <si>
    <t>SEKSI PENGAWASAN NORMA KERJA K3</t>
  </si>
  <si>
    <t>ARIANTO, SE, MM</t>
  </si>
  <si>
    <t>UPT PENGAWASAN KETENAGAKERJAAN WILAYAH 1</t>
  </si>
  <si>
    <t>NURVIANTI, SH</t>
  </si>
  <si>
    <t>SAIFUL, S.KM</t>
  </si>
  <si>
    <t>SUKIMAN, SE</t>
  </si>
  <si>
    <t>HERLINA, SH</t>
  </si>
  <si>
    <t>RUDIYANTO, SH</t>
  </si>
  <si>
    <t>SAADIYAH LAPAGAMPU, ST</t>
  </si>
  <si>
    <t>UPT PENGAWASAN KETENAGAKERJAAN WILAYAH 2</t>
  </si>
  <si>
    <t>SUHARDI, ST</t>
  </si>
  <si>
    <t>NIKMAH WATI MALATJO, ST</t>
  </si>
  <si>
    <t>REPY, ST</t>
  </si>
  <si>
    <t>YULIUS JACKSEN TAMOWANGKAY, SH</t>
  </si>
  <si>
    <t>PURNAMA SALEH ALI, ST</t>
  </si>
  <si>
    <t>INDAH KURNIAWATI, S.KM</t>
  </si>
  <si>
    <t>Ahli Madya</t>
  </si>
  <si>
    <t>SYAIFUL, S.Sos</t>
  </si>
  <si>
    <t>ANDAWIAH, SH.,M.Si</t>
  </si>
  <si>
    <t>DEWI RANA, SH</t>
  </si>
  <si>
    <t>JEIN AKUMO, SH.</t>
  </si>
  <si>
    <t>RIFAI, SH</t>
  </si>
  <si>
    <t>NOVIANTHI, SH, MH</t>
  </si>
  <si>
    <t>1989010 2011012008</t>
  </si>
  <si>
    <t>RATNAWATI, S.Sos</t>
  </si>
  <si>
    <t>19760218 008042001</t>
  </si>
  <si>
    <t>HERU EKO PRAMONO, ST</t>
  </si>
  <si>
    <t>HARFAN, ST</t>
  </si>
  <si>
    <t>RONALD SARIRA, ST</t>
  </si>
  <si>
    <t>RINSEN RIGA, SE</t>
  </si>
  <si>
    <t>SEKSI PELATIHAN TENAGA KERJA</t>
  </si>
  <si>
    <t>SURYANI YUSUF, SE.MM</t>
  </si>
  <si>
    <t>MIZANI, SE</t>
  </si>
  <si>
    <t>MARTHEN ROPANG, S.Sos</t>
  </si>
  <si>
    <t>IV/c</t>
  </si>
  <si>
    <t>NOVITA IDAYANTI PETTALOLO, SP., M.Si</t>
  </si>
  <si>
    <t>PENGGERAK SWADAYA MASYARAKAT</t>
  </si>
  <si>
    <t>BIDANG PENGEMBANGAN KAWASAN TRANSMIGRASI DAERAH TERTINGGAL DAN DAERAH TERTENTU</t>
  </si>
  <si>
    <t>Dra. RIWATI</t>
  </si>
  <si>
    <t>C. DATA PEJABAT PELAKSANA</t>
  </si>
  <si>
    <t>Kelas Jabatan</t>
  </si>
  <si>
    <t>ADRIANUS SUJANTO, ST</t>
  </si>
  <si>
    <t>PENELAAH TEKNIS KEBIJAKAN</t>
  </si>
  <si>
    <t>MAHIRUDDIN, ST</t>
  </si>
  <si>
    <t>SUMARTONO, A.Md</t>
  </si>
  <si>
    <t>D3</t>
  </si>
  <si>
    <t>PENGOLAH DATA DAN INFORMASI</t>
  </si>
  <si>
    <t>MUHAMMAD ADRIANSYAH, S.Kom</t>
  </si>
  <si>
    <t>PENATA KELOLA SISTEM DAN TEKNOLOGI INFORMASI</t>
  </si>
  <si>
    <t>CPNS</t>
  </si>
  <si>
    <t>YULIANTY, S.Kom</t>
  </si>
  <si>
    <t>SUB BAGIAN KEUANGAN DAN ASSET</t>
  </si>
  <si>
    <t>SRI UMIYANTI.R, SH.,MM</t>
  </si>
  <si>
    <t>DAHRIA, SH</t>
  </si>
  <si>
    <t>FAHRUN DJAYAMALINTA, SE</t>
  </si>
  <si>
    <t>A'AN KURNIAWAN</t>
  </si>
  <si>
    <t>II/d</t>
  </si>
  <si>
    <t>MIRWAN</t>
  </si>
  <si>
    <t>II/b</t>
  </si>
  <si>
    <t>SMA / SMK</t>
  </si>
  <si>
    <t>PENGADMINISTRASI PERKANTORAN</t>
  </si>
  <si>
    <t>SUB BAGIAN KEPEGAWAIAN DAN UMUM</t>
  </si>
  <si>
    <t>MUFTI ALI</t>
  </si>
  <si>
    <t>RAFIKASARI.SP</t>
  </si>
  <si>
    <t>SUKARYA, S.AP</t>
  </si>
  <si>
    <t>ZULFIANTY</t>
  </si>
  <si>
    <t>II/c</t>
  </si>
  <si>
    <t>HIDAYAT</t>
  </si>
  <si>
    <t>ADI,ST</t>
  </si>
  <si>
    <t>MUHAMAD FAQIH, S.KM</t>
  </si>
  <si>
    <t>NUNUNG KURNIA WIJAYA, S.P</t>
  </si>
  <si>
    <t>DIAN NALURITA SOESANTO, A.Md</t>
  </si>
  <si>
    <t>SEKSI PENEMPATAN DAN PERLUASAN KESEMPATAN KERJA</t>
  </si>
  <si>
    <t>MUNIF</t>
  </si>
  <si>
    <t>HENDERA,S.Sos</t>
  </si>
  <si>
    <t>RATNAMAWATY</t>
  </si>
  <si>
    <t>AZLIA,S.KM</t>
  </si>
  <si>
    <t>AZHARI SAMSUDIN,ST.MM</t>
  </si>
  <si>
    <t>KRISNA ANGGRAENI,ST.M.Si</t>
  </si>
  <si>
    <t>SEKSI PENEMPATAN DAN PERLINDUNGAN PEKERJA MIGRAN INDONESIA</t>
  </si>
  <si>
    <t>HENDRA,S.Sos</t>
  </si>
  <si>
    <t>BIDANG PEMBINAAN HUBUNGAN INDUSTRIAL DAN PENGAWASAN KETENAGAKERJAAN</t>
  </si>
  <si>
    <t>EFFENDI,SAP</t>
  </si>
  <si>
    <t>SEKSI SYARAT KERJA PENGUPAHAM DAN JAMINAN SOSIAL</t>
  </si>
  <si>
    <t>ADRIANSYAH</t>
  </si>
  <si>
    <t>MOHAMAD MUALIF NAZIR, A.Md</t>
  </si>
  <si>
    <t>SEKSI PEMBINAAN POTENSI KAWASAN</t>
  </si>
  <si>
    <t>SITTI ZAKIYAH,S.Sos, MM</t>
  </si>
  <si>
    <t>MARIAM, S.Sos</t>
  </si>
  <si>
    <t>TAUFAN</t>
  </si>
  <si>
    <t>II/a</t>
  </si>
  <si>
    <t>RAMLAH, S.Sos</t>
  </si>
  <si>
    <t>NUR AFNI</t>
  </si>
  <si>
    <t>SEKSI PENYEDIAAN TANAH DAN PELAYANAN PERTANAHAN TRANSMIGRASI</t>
  </si>
  <si>
    <t>HARIS S.Sos</t>
  </si>
  <si>
    <t>FANTI,SH</t>
  </si>
  <si>
    <t>BIDANG PEMBANGUN AN KAWASAN TRANSMIGRASI DAN PENATAAN PERSEBARAN PENDUDUK</t>
  </si>
  <si>
    <t>HUSNI BELANI,S.Sos</t>
  </si>
  <si>
    <t>MUH.HUSNI,ST,MM</t>
  </si>
  <si>
    <t>SEKSI PENYIAPAN PRASARANA DAN SARANA PERMUKIMAN DAN KAWASAN TRANSMIGRASI</t>
  </si>
  <si>
    <t>AMIRUDIN DJUHAEPA,ST</t>
  </si>
  <si>
    <t>MAKSUD</t>
  </si>
  <si>
    <t>SEKSI PENATAAN PERSEBARAN PENDUDUK</t>
  </si>
  <si>
    <t>IRFAN</t>
  </si>
  <si>
    <t>SYAHBUDIN,S.Pdi</t>
  </si>
  <si>
    <t>SULASTRI</t>
  </si>
  <si>
    <t>SMP</t>
  </si>
  <si>
    <t>MOCHAMMAD TAUFAN, SH</t>
  </si>
  <si>
    <t>TRIA MEIGA SUSANTI,S.Sos</t>
  </si>
  <si>
    <t>SEKSI PENGEMBANGAN EKONOMI DAN SDM MASYARAKAT TRANSMIGRASI, DAERAH TERTINGGAL DAN DAERAH TERTENTU</t>
  </si>
  <si>
    <t>ABD HALIK, SE</t>
  </si>
  <si>
    <t>SEKSI EVALUASI PERKEMBANGAN PERMUKIMAN KAWASAN TRANSMIGRASI DAN SARANA PRASARANA DAERAH TERTINGGAL SERTA DAERAH TERTENTU</t>
  </si>
  <si>
    <t>NILA WARDANIA,SE</t>
  </si>
  <si>
    <t>IKRAR</t>
  </si>
  <si>
    <t>MASTUR,SE</t>
  </si>
  <si>
    <t>SUB BAGIAN TATA USAHA UPT PENGAWASAN KETENAGAKERJAAN WILAYAH I</t>
  </si>
  <si>
    <t>MOHAMAD SAID SANUSI. S. Sos, MAP</t>
  </si>
  <si>
    <t>U L F I Y A N I, SE</t>
  </si>
  <si>
    <t>SITTI NAHDA DJAMALUDIN, SE</t>
  </si>
  <si>
    <t>SEKSI PENGAWASAN NORMA KERJA WILAYAH I</t>
  </si>
  <si>
    <t>MARJUK, S.AP</t>
  </si>
  <si>
    <t>WIRYAWAN INDRA,S.Sos</t>
  </si>
  <si>
    <t>NURHAYATI, S.AP</t>
  </si>
  <si>
    <t>SEKSI PENGAWASAN NORMA K3 UPT WASNAKER WILAYAH I</t>
  </si>
  <si>
    <t>MAURITS SUMAKUL</t>
  </si>
  <si>
    <t>SUB BAGIAN TATA USAHA UPT WASNAKER WILAYAH II</t>
  </si>
  <si>
    <t>ELLYSABETH SHERLY</t>
  </si>
  <si>
    <t>ZULHAM</t>
  </si>
  <si>
    <t>ZALZIBAR, ST</t>
  </si>
  <si>
    <t>ALISA S LATJUBA, S.T</t>
  </si>
  <si>
    <t>PENATA LAYANAN OPERASIONAL</t>
  </si>
  <si>
    <t>CORRY PRATIWI, S.T.</t>
  </si>
  <si>
    <t>MOHAMMAD AL-ADRA CIPTA, S.T.</t>
  </si>
  <si>
    <t>NIRMAYANTI, ST</t>
  </si>
  <si>
    <t>SUSANTO, ST</t>
  </si>
  <si>
    <t>MOH. SADDAM A. BARALEMBA</t>
  </si>
  <si>
    <t>V</t>
  </si>
  <si>
    <t>MUH. NOOR SYARIEF, S.T</t>
  </si>
  <si>
    <t>EKA MAYASARI, S.T</t>
  </si>
  <si>
    <t>NOVIANTY KAWAROA, S.T.</t>
  </si>
  <si>
    <t>DEWI SARTIKA, ST</t>
  </si>
  <si>
    <t>LUSIA DWIKARTIKA, ST</t>
  </si>
  <si>
    <t>INDRA PANJI KRISTIAN, S.H.</t>
  </si>
  <si>
    <t>MITRASARI, SH</t>
  </si>
  <si>
    <t>YUYUN B. BANGA, S.SI.</t>
  </si>
  <si>
    <t>BESSE AYUH WANDIRA, S.I Kom</t>
  </si>
  <si>
    <t>MUHAMAD SUKMA AMANDA, S.I.Kom</t>
  </si>
  <si>
    <t>ASRIFAH, S.I.Kom</t>
  </si>
  <si>
    <t>I'IN ANGGRAINI, S.I.Kom</t>
  </si>
  <si>
    <t>NUR' RAHMA, S.I.Kom</t>
  </si>
  <si>
    <t>RAHMI A. LAGIENTA, S.I.Kom</t>
  </si>
  <si>
    <t>RUSITA, S.I.Kom</t>
  </si>
  <si>
    <t>DEWI OKTAVIANTY RAIS L, S.I.Kom</t>
  </si>
  <si>
    <t>WIDIASTUTI, S.SI</t>
  </si>
  <si>
    <t>HAIRIL, S.SI</t>
  </si>
  <si>
    <t>SANDRA HERLINA, S.SI</t>
  </si>
  <si>
    <t>OBERTINUS NTADE, S.SI.</t>
  </si>
  <si>
    <t>TRIA ENOM WULANDARI, S.I.Kom</t>
  </si>
  <si>
    <t>RAHMAT, S.Sos</t>
  </si>
  <si>
    <t>AGUS TRI SAPUTRA, S.H.</t>
  </si>
  <si>
    <t>MOHAMAD NISAM, .S.H</t>
  </si>
  <si>
    <t>SYAHRIL SH, SH</t>
  </si>
  <si>
    <t>NATALIAS</t>
  </si>
  <si>
    <t>NUR HASNA</t>
  </si>
  <si>
    <t>MOH. RANDY, S.I.Kom</t>
  </si>
  <si>
    <t>NURNANINGSIH, S.Sos</t>
  </si>
  <si>
    <t>CAHYADI BUDIARTO UTINA., ST</t>
  </si>
  <si>
    <t>NURZANI, ST</t>
  </si>
  <si>
    <t>SARTIKA, SM</t>
  </si>
  <si>
    <t>MOH. FAHD AHMAD</t>
  </si>
  <si>
    <t>HARI RUSTAMADI</t>
  </si>
  <si>
    <t>NAZLA AULIYA, S.Ars</t>
  </si>
  <si>
    <t>BIDANG PERENCANAAN KAWASAN TRANSMIGRASI</t>
  </si>
  <si>
    <t>TRISYA OLVINA, S.T</t>
  </si>
  <si>
    <t>EKA WIRATNO, S.T</t>
  </si>
  <si>
    <t>FARID, S.T</t>
  </si>
  <si>
    <t>YULLY RAHMAWATI, S.T.</t>
  </si>
  <si>
    <t>AFRIA FADILA SAHITA, ST</t>
  </si>
  <si>
    <t>RAHMAWATY NUR, ST</t>
  </si>
  <si>
    <t>FIKRI ZULHAM, S.E</t>
  </si>
  <si>
    <t>SYAHRIANA, S.P</t>
  </si>
  <si>
    <t>FARID HIDAYAT, S.Si</t>
  </si>
  <si>
    <t>FIRA NOVRALITA, S.Hut</t>
  </si>
  <si>
    <t>YUNITA, S.Hut</t>
  </si>
  <si>
    <t>FONIEM, S.Si</t>
  </si>
  <si>
    <t>ROSITA Y. SA'ADAH, S.Si</t>
  </si>
  <si>
    <t>NOVIRA</t>
  </si>
  <si>
    <t>NANDA KRISDIANTO, S.Ap</t>
  </si>
  <si>
    <t>FARID PRAMUDITO, S.Sos</t>
  </si>
  <si>
    <t>IRMAWATI, S.E</t>
  </si>
  <si>
    <t>TRI YULIANTI, S.E</t>
  </si>
  <si>
    <t>VIKRIYA NURDIN LAIYA, S.E</t>
  </si>
  <si>
    <t>ABDUL RAHIM, S.E</t>
  </si>
  <si>
    <t>GALANG GEMERLANG JOTOLEMBAH, S.Kom</t>
  </si>
  <si>
    <t>LARAS FEBRIYANTI, S.M</t>
  </si>
  <si>
    <t>SATRIANI, S.M</t>
  </si>
  <si>
    <t>YULIANA SAHLAN, S.M</t>
  </si>
  <si>
    <t>FAIZAH NUR, S. E</t>
  </si>
  <si>
    <t>GADIS ADITYANINGRUM, S.Ak</t>
  </si>
  <si>
    <t>AIRIN NETZA MAGHFIRAH, S.E</t>
  </si>
  <si>
    <t>FAHRIYANI MANDAHARI, S.E</t>
  </si>
  <si>
    <t>ULFIANI, S.E.</t>
  </si>
  <si>
    <t>FATMAWATI, S.E.</t>
  </si>
  <si>
    <t>IRWANTO, S.Kom</t>
  </si>
  <si>
    <t>ARIEF SURYADIN ANTOGIA, S.Kom</t>
  </si>
  <si>
    <t>WIDI PRASETIYO PAMUNGKAS, S.Kom</t>
  </si>
  <si>
    <t>CITRA SAFITRI, S.Kom</t>
  </si>
  <si>
    <t>INDRAWAN LASAUDJU, S.SI</t>
  </si>
  <si>
    <t>ADE IRMA SEPTIANY, SE</t>
  </si>
  <si>
    <t>NIRWANA</t>
  </si>
  <si>
    <t>SUNARTON</t>
  </si>
  <si>
    <t>FITRAH RAHMAYANI</t>
  </si>
  <si>
    <t>ARIF RAHMAN</t>
  </si>
  <si>
    <t>SEKSI PENGAWASAN NORMA KERJA WILAYAH II</t>
  </si>
  <si>
    <t>HERAWATI HAMADI</t>
  </si>
  <si>
    <t>INDRANINGSIH</t>
  </si>
  <si>
    <t>DIAN ANGRIANY, S.Sos</t>
  </si>
  <si>
    <t>FITANI MUTIA, SE</t>
  </si>
  <si>
    <t>ARIANTY BEATRIX SILVANA</t>
  </si>
  <si>
    <t>DHEVY FEBRIANI, S.K.M</t>
  </si>
  <si>
    <t>RANI DWI PRATAMI, S.K.M., M.M.</t>
  </si>
  <si>
    <t>IKA ANUGRAHRINI, S.KM</t>
  </si>
  <si>
    <t>SARAH NUR FADILLA, S.KM</t>
  </si>
  <si>
    <t>NUR AFIAN</t>
  </si>
  <si>
    <t>PUDJI PURNAMA SUCI, S.Sos</t>
  </si>
  <si>
    <t>INDRA ANANTHA, S.Sos</t>
  </si>
  <si>
    <t>SUB BIDANG KEPEGAWAIAN DAN UMUM</t>
  </si>
  <si>
    <t>FATMAWATI SY LABUDU, S.Sos</t>
  </si>
  <si>
    <t>IIN FERLINA, S.A.P</t>
  </si>
  <si>
    <t>YULFIANTRI, S.Sos</t>
  </si>
  <si>
    <t>FITRIANA, S.Sos</t>
  </si>
  <si>
    <t>JUNAEDI, S.Sos</t>
  </si>
  <si>
    <t>UPT WIL.1 SUB. PENATA USAHAAN</t>
  </si>
  <si>
    <t>LITHA SEPTIANI, SE</t>
  </si>
  <si>
    <t>SEKSI PEMBINAAN POTENSI KAWASAN TRANSMIGRASI</t>
  </si>
  <si>
    <t>A. MIFTHA USMAN, S.Ars</t>
  </si>
  <si>
    <t>NURFAIQAH, S.I.Kom</t>
  </si>
  <si>
    <t>SEKSI SYARAT KERJA, PENGUPAHAN DAN JAMINAN SOSIAL</t>
  </si>
  <si>
    <t>MOHAMAD NUR, SE</t>
  </si>
  <si>
    <t>RAHMAWATI, SE</t>
  </si>
  <si>
    <t>ZULHIJJA, S.I.Kom</t>
  </si>
  <si>
    <t>MEGA WAHYUNI, S.Sos</t>
  </si>
  <si>
    <t>SUB BAGIAN TATA USAHA UPTD PENGAWASAN KETENAGAKERJAAN WIL.II</t>
  </si>
  <si>
    <t>DIANE SUMILAT</t>
  </si>
  <si>
    <t>SEKSI PENGAWASAN NORMA K3 UPTD PENGAWASAN KETENAGA KERJAAN WIL.II</t>
  </si>
  <si>
    <t>MUH.GUNANTA PUTERA, S.T</t>
  </si>
  <si>
    <t>SUMARTINI NURDIN, S.T</t>
  </si>
  <si>
    <t>NUR IVANA PIDU, S.I.Kom</t>
  </si>
  <si>
    <t>ULFAH, S.Sos</t>
  </si>
  <si>
    <t>SEKSI PEMBINAAN ORGANISASI HUBUNGAN INDUSTRIAL</t>
  </si>
  <si>
    <t>ILHAM, S.Sos</t>
  </si>
  <si>
    <t>FIKRI NUR, S.Sos</t>
  </si>
  <si>
    <t>LILIS TRIHANDAYANI, S.T</t>
  </si>
  <si>
    <t>ABD.WAHAB, S.T</t>
  </si>
  <si>
    <t>ANDI RUDINI, S.T</t>
  </si>
  <si>
    <t>MUHAMMAD RIDHA, SE</t>
  </si>
  <si>
    <t>UPT PENGAWASAN KETENAGAKERJAAN WIL.I SEKSI PENGAWASAN NORMA KERJA</t>
  </si>
  <si>
    <t>ANDRI FIRMAN ADIWIJAYA, S.T</t>
  </si>
  <si>
    <t>BIDANG PEMBANGUNAN KAWASAN TRANSMIGRASI DAN PENATAAN PERSEBARAN PENDUDUK</t>
  </si>
  <si>
    <t>MUHAMMAD SULTAN AGUNG, S.T</t>
  </si>
  <si>
    <t>D. DATA PARUH WAKTU</t>
  </si>
  <si>
    <t>MOH. IKSAN HASIBU M</t>
  </si>
  <si>
    <t>OPERATOR LAYANAN OPERASIONAL</t>
  </si>
  <si>
    <t>PPPK PW</t>
  </si>
  <si>
    <t>MOHAMAD TAUFIK, S.Kom</t>
  </si>
  <si>
    <t>MUAMMAR, S.Pd.I</t>
  </si>
  <si>
    <t>MUH FAISAL</t>
  </si>
  <si>
    <t>FIRMANSYAH</t>
  </si>
  <si>
    <t>MOHAMMAD SYARIF</t>
  </si>
  <si>
    <t>DWI HIDAYATI, S.Kom</t>
  </si>
  <si>
    <t>IIN SUKARTIN</t>
  </si>
  <si>
    <t>ASLINDA</t>
  </si>
  <si>
    <t>DINO</t>
  </si>
  <si>
    <t>MOH. ABDULLAH</t>
  </si>
  <si>
    <t>SELMAN</t>
  </si>
  <si>
    <t>ANDRI AKSEL N BARALEMBA</t>
  </si>
  <si>
    <t>WAWAN</t>
  </si>
  <si>
    <t>UMAR RAHMAN</t>
  </si>
  <si>
    <t>JEFRYANTO PAWARANGAN, SH</t>
  </si>
  <si>
    <t>BRIAN UTAMA PUTRA, S.Agr</t>
  </si>
  <si>
    <t>IMRAN</t>
  </si>
  <si>
    <t>NURHIDAYAH, S. Pd</t>
  </si>
  <si>
    <t>NURDIAN</t>
  </si>
  <si>
    <t>MOH. HAIKAL, SH</t>
  </si>
  <si>
    <t>SULTAN ISKANDAR. S.Ap</t>
  </si>
  <si>
    <t>ARIFIN</t>
  </si>
  <si>
    <t>SATRIA</t>
  </si>
  <si>
    <t>RISKAN ADI SAPUTRA</t>
  </si>
  <si>
    <t>NURDIN ZAINAL AMIN</t>
  </si>
  <si>
    <t>AL FATHIR ISFAR MAULANA B</t>
  </si>
  <si>
    <t>A. Rekap Pegawai Per Jenis Kelamin</t>
  </si>
  <si>
    <t>C. Rekap Pegawai Per Pendidikan dan Jenis Kelamin</t>
  </si>
  <si>
    <t>NO</t>
  </si>
  <si>
    <t>URAIAN</t>
  </si>
  <si>
    <t>JENIS KELAMIN</t>
  </si>
  <si>
    <t>JUMLAH</t>
  </si>
  <si>
    <t>PDDKN</t>
  </si>
  <si>
    <t>LAKI-LAKI</t>
  </si>
  <si>
    <t>PEREMPUAN</t>
  </si>
  <si>
    <t>%</t>
  </si>
  <si>
    <t>SD</t>
  </si>
  <si>
    <t>TOTAL</t>
  </si>
  <si>
    <t>D1</t>
  </si>
  <si>
    <t>B. Rekap Pegawai Per Golongan Ruang dan Jenis Kelamin</t>
  </si>
  <si>
    <t>D2</t>
  </si>
  <si>
    <t>GOL/RU</t>
  </si>
  <si>
    <t>I/a</t>
  </si>
  <si>
    <t>I/b</t>
  </si>
  <si>
    <t>S3</t>
  </si>
  <si>
    <t>I/c</t>
  </si>
  <si>
    <t>I/d</t>
  </si>
  <si>
    <t>D. Rekap Jabatan Struktural ( Eselon )</t>
  </si>
  <si>
    <t>ESS</t>
  </si>
  <si>
    <t>FORMASI</t>
  </si>
  <si>
    <t>TERISI</t>
  </si>
  <si>
    <t>LOWONG</t>
  </si>
  <si>
    <t>I.b</t>
  </si>
  <si>
    <t>II.b</t>
  </si>
  <si>
    <t>I. Rekap PPPK Paruh Waktu Per Pendidikan dan Jenis Kelamin</t>
  </si>
  <si>
    <t>IV.b</t>
  </si>
  <si>
    <t>IV/d</t>
  </si>
  <si>
    <t>E. Pejabat Struktural Per Jenis Kelamin</t>
  </si>
  <si>
    <t>IV/e</t>
  </si>
  <si>
    <t>I</t>
  </si>
  <si>
    <t>III</t>
  </si>
  <si>
    <t>VII</t>
  </si>
  <si>
    <t>X</t>
  </si>
  <si>
    <t>H. Rekap Pegawai Per Jabatan dan Jenis Kelamin</t>
  </si>
  <si>
    <t>JABATAN</t>
  </si>
  <si>
    <t>ESELON</t>
  </si>
  <si>
    <t>II</t>
  </si>
  <si>
    <t>IV</t>
  </si>
  <si>
    <t>Struktural</t>
  </si>
  <si>
    <t>Fungsional</t>
  </si>
  <si>
    <t>D1 - D3</t>
  </si>
  <si>
    <t>Pelaksana</t>
  </si>
  <si>
    <t>G. Rekap Jabatan Fungsional</t>
  </si>
  <si>
    <t>NAMA JABATAN FUNGSIONAL</t>
  </si>
  <si>
    <t>JUMLAH AHLI + TERAMPIL</t>
  </si>
  <si>
    <t>JUMLAH AHLI</t>
  </si>
  <si>
    <t>TERAMPIL</t>
  </si>
  <si>
    <t>JUMLAH TERAMPIL</t>
  </si>
  <si>
    <t>KEPALA UPTD. PENGAWASAN KETENAGAKERJAAN WILAYAH II</t>
  </si>
  <si>
    <t>197606262001121006</t>
  </si>
  <si>
    <t>196806162005021001</t>
  </si>
  <si>
    <t>197411102006041024</t>
  </si>
  <si>
    <t>196912112002121005</t>
  </si>
  <si>
    <t>197005251990111001</t>
  </si>
  <si>
    <t>197805242005022001</t>
  </si>
  <si>
    <t>198404162011012008</t>
  </si>
  <si>
    <t>198105302000031001</t>
  </si>
  <si>
    <t>197612122008011015</t>
  </si>
  <si>
    <t>196903031998032004</t>
  </si>
  <si>
    <t>197412182002121009</t>
  </si>
  <si>
    <t>198702042010012003</t>
  </si>
  <si>
    <t>'197008012006041009</t>
  </si>
  <si>
    <t>197812212009032003</t>
  </si>
  <si>
    <t>199211152014061002</t>
  </si>
  <si>
    <t>196807251990031008</t>
  </si>
  <si>
    <t>197805282001122003</t>
  </si>
  <si>
    <t>197705052008011015</t>
  </si>
  <si>
    <t>198004212000121001</t>
  </si>
  <si>
    <t>196811132001122001</t>
  </si>
  <si>
    <t>196907171998032005</t>
  </si>
  <si>
    <t>196905072000121004</t>
  </si>
  <si>
    <t>197910312006042023</t>
  </si>
  <si>
    <t>197112281997031004</t>
  </si>
  <si>
    <t>198006172005011008</t>
  </si>
  <si>
    <t>'198709142025211122</t>
  </si>
  <si>
    <t>'198912302025211128</t>
  </si>
  <si>
    <t>'198812222025211130</t>
  </si>
  <si>
    <t>'199011302025211130</t>
  </si>
  <si>
    <t>'198701222025211094</t>
  </si>
  <si>
    <t>'199011072025211123</t>
  </si>
  <si>
    <t>'199203122025212167</t>
  </si>
  <si>
    <t>'198411102025212120</t>
  </si>
  <si>
    <t>'198007152025212078</t>
  </si>
  <si>
    <t>'198812082025211115</t>
  </si>
  <si>
    <t>'199105232025211153</t>
  </si>
  <si>
    <t>'198712012025211140</t>
  </si>
  <si>
    <t>'198906062025211208</t>
  </si>
  <si>
    <t>'198705242025211141</t>
  </si>
  <si>
    <t>'198805152025211231</t>
  </si>
  <si>
    <t>'199601022025211113</t>
  </si>
  <si>
    <t>197307032025211056</t>
  </si>
  <si>
    <t>'198011012025212058</t>
  </si>
  <si>
    <t>'198904042025212213</t>
  </si>
  <si>
    <t>'198704132025211128</t>
  </si>
  <si>
    <t>'199510292025211101</t>
  </si>
  <si>
    <t>'198706212025211128</t>
  </si>
  <si>
    <t>'198802062025212111</t>
  </si>
  <si>
    <t>'199010192025211125</t>
  </si>
  <si>
    <t>'197401012025211158</t>
  </si>
  <si>
    <t>'199803072025211091</t>
  </si>
  <si>
    <t>198801092025212034</t>
  </si>
  <si>
    <t>199010292025212048</t>
  </si>
  <si>
    <t>198905192025212048</t>
  </si>
  <si>
    <t>198702232024212001</t>
  </si>
  <si>
    <t>198212172024212002</t>
  </si>
  <si>
    <t>199112032025211010</t>
  </si>
  <si>
    <t>199103072025211001</t>
  </si>
  <si>
    <t>198712152025211032</t>
  </si>
  <si>
    <t>198712102011021002</t>
  </si>
  <si>
    <t>197701212011011004</t>
  </si>
  <si>
    <t>198303162011011003</t>
  </si>
  <si>
    <t>197912052006042026</t>
  </si>
  <si>
    <t>197405122010012005</t>
  </si>
  <si>
    <t>198312072008012011</t>
  </si>
  <si>
    <t>198010252016041001</t>
  </si>
  <si>
    <t>198307312009011004</t>
  </si>
  <si>
    <t>198307032016071001</t>
  </si>
  <si>
    <t>'196803071990032007</t>
  </si>
  <si>
    <t>196801282009011003</t>
  </si>
  <si>
    <t>198408312014082001</t>
  </si>
  <si>
    <t>197703272016041001</t>
  </si>
  <si>
    <t>197701262016042001</t>
  </si>
  <si>
    <t>198608012016041001</t>
  </si>
  <si>
    <t>197807042014021001</t>
  </si>
  <si>
    <t>198411152014081001</t>
  </si>
  <si>
    <t>198304032014082001</t>
  </si>
  <si>
    <t>197908052014082002</t>
  </si>
  <si>
    <t>198201302010011004</t>
  </si>
  <si>
    <t>198501122011011006</t>
  </si>
  <si>
    <t>196801251995032003</t>
  </si>
  <si>
    <t>MUHAMMAD HASIM, SH</t>
  </si>
  <si>
    <t>197802102005021003</t>
  </si>
  <si>
    <t>198201262008012012</t>
  </si>
  <si>
    <t>19840732015041001</t>
  </si>
  <si>
    <t>19840221011011004</t>
  </si>
  <si>
    <t>196802142002122003</t>
  </si>
  <si>
    <t>pensiun 1/2/2026</t>
  </si>
  <si>
    <t>DATA PENSIUN BULAN FEBRUARI 2026</t>
  </si>
  <si>
    <t>196601181986031009</t>
  </si>
  <si>
    <t>198202282024211002</t>
  </si>
  <si>
    <t>199108162025212041</t>
  </si>
  <si>
    <t>198004302003122011</t>
  </si>
  <si>
    <t>199202182024212007</t>
  </si>
  <si>
    <t>198607162024212004</t>
  </si>
  <si>
    <t>198707062024211005</t>
  </si>
  <si>
    <t>199312142024211004</t>
  </si>
  <si>
    <t>198601082024212001</t>
  </si>
  <si>
    <t>198603232024212001</t>
  </si>
  <si>
    <t>198712152015031001</t>
  </si>
  <si>
    <t>198003282016041001</t>
  </si>
  <si>
    <t>198112022011011002</t>
  </si>
  <si>
    <t>198904202015041002</t>
  </si>
  <si>
    <t>197508102007011026</t>
  </si>
  <si>
    <t>198211172006041011</t>
  </si>
  <si>
    <t>198011222011012005</t>
  </si>
  <si>
    <t>197105081993031008</t>
  </si>
  <si>
    <t>'197408142009041001</t>
  </si>
  <si>
    <t>197812022010012007</t>
  </si>
  <si>
    <t>198211292009041004</t>
  </si>
  <si>
    <t>197810172011012006</t>
  </si>
  <si>
    <t>198204042008012030</t>
  </si>
  <si>
    <t>198512192015041001</t>
  </si>
  <si>
    <t>198707242015041001</t>
  </si>
  <si>
    <t>196611061989032013</t>
  </si>
  <si>
    <t>197002181992031010</t>
  </si>
  <si>
    <t>196611012007012011</t>
  </si>
  <si>
    <t>197712012010011005</t>
  </si>
  <si>
    <t>197507152010011012</t>
  </si>
  <si>
    <t>198211262010011010</t>
  </si>
  <si>
    <t>198309172011011007</t>
  </si>
  <si>
    <t>198801112015031006</t>
  </si>
  <si>
    <t>198204262009012006</t>
  </si>
  <si>
    <t>197607082009012004</t>
  </si>
  <si>
    <t>196603071986031009</t>
  </si>
  <si>
    <t>197310092002122006</t>
  </si>
  <si>
    <t>196808051991032009</t>
  </si>
  <si>
    <t>198011012010011005</t>
  </si>
  <si>
    <t>196903072006041009</t>
  </si>
  <si>
    <t>198309192014081003</t>
  </si>
  <si>
    <t>197807102016041001</t>
  </si>
  <si>
    <t>197706132002121009</t>
  </si>
  <si>
    <t>198010232010012017</t>
  </si>
  <si>
    <t>198111112014082002</t>
  </si>
  <si>
    <t>197506122016041001</t>
  </si>
  <si>
    <t>198307162011012008</t>
  </si>
  <si>
    <t>198505202014082002</t>
  </si>
  <si>
    <t>198103172013121001</t>
  </si>
  <si>
    <t>198605082016072001</t>
  </si>
  <si>
    <t>198212102016041001</t>
  </si>
  <si>
    <t>198104172005021005</t>
  </si>
  <si>
    <t>198011272009021001</t>
  </si>
  <si>
    <t>197606142009011008</t>
  </si>
  <si>
    <t>198202082014081002</t>
  </si>
  <si>
    <t>197810122014081001</t>
  </si>
  <si>
    <t>197004031990032004</t>
  </si>
  <si>
    <t>198201042014081001</t>
  </si>
  <si>
    <t>199205222015032003</t>
  </si>
  <si>
    <t>197109202014081001</t>
  </si>
  <si>
    <t>198106142016042001</t>
  </si>
  <si>
    <t>197511262016041001</t>
  </si>
  <si>
    <t>197210062006041011</t>
  </si>
  <si>
    <t>ANDRI ASTIN</t>
  </si>
  <si>
    <t>197304251995032001</t>
  </si>
  <si>
    <t>DATA PENSIUN BULAN MARET 2026</t>
  </si>
  <si>
    <t>pensiun 1/3/2026</t>
  </si>
  <si>
    <t>1968022420070110024</t>
  </si>
  <si>
    <t>199412012025211040</t>
  </si>
  <si>
    <t>199409072025212039</t>
  </si>
  <si>
    <t>200002262025211012</t>
  </si>
  <si>
    <t>198701242025212034</t>
  </si>
  <si>
    <t>199002072025211033</t>
  </si>
  <si>
    <t>198810302025212041</t>
  </si>
  <si>
    <t>198809102025212058</t>
  </si>
  <si>
    <t>199009012025212059</t>
  </si>
  <si>
    <t>198001092025212014</t>
  </si>
  <si>
    <t>199610092025211029</t>
  </si>
  <si>
    <t>197701142025212005</t>
  </si>
  <si>
    <t>197909282025212020</t>
  </si>
  <si>
    <t>198710312025212031</t>
  </si>
  <si>
    <t>198810122025211060</t>
  </si>
  <si>
    <t>199612132025211017</t>
  </si>
  <si>
    <t>198312022025212023</t>
  </si>
  <si>
    <t>198107312025211031</t>
  </si>
  <si>
    <t>198901052025211038</t>
  </si>
  <si>
    <t>198808042025211053</t>
  </si>
  <si>
    <t>198605072025211050</t>
  </si>
  <si>
    <t>198707172025211070</t>
  </si>
  <si>
    <t>pensiun 1/4/2026</t>
  </si>
  <si>
    <t>DATA PENSIUN BULAN APRIL 2026</t>
  </si>
  <si>
    <t>NANI PUJI ASTUTI, S.Sos</t>
  </si>
  <si>
    <t>-</t>
  </si>
  <si>
    <t>AHLI</t>
  </si>
  <si>
    <t>B. Rekap PPPK Paruh Waktu Per Pendidikan dan Jenis Kelamin</t>
  </si>
  <si>
    <t>Gol/ Ruang</t>
  </si>
  <si>
    <t>198411162014081001</t>
  </si>
  <si>
    <t>197109062007012015</t>
  </si>
  <si>
    <t>198111182016042001</t>
  </si>
  <si>
    <t>197201282008011008</t>
  </si>
  <si>
    <t>'197903022014081002</t>
  </si>
  <si>
    <t>'198405272014082001</t>
  </si>
  <si>
    <t>197709152012122001</t>
  </si>
  <si>
    <t>197301102007011016</t>
  </si>
  <si>
    <t>197806132014081001</t>
  </si>
  <si>
    <t>199312032025212032</t>
  </si>
  <si>
    <t>198602242025212001</t>
  </si>
  <si>
    <t>199306222025212029</t>
  </si>
  <si>
    <t>199606252025212023</t>
  </si>
  <si>
    <t>199401272025212003</t>
  </si>
  <si>
    <t>199610232025212019</t>
  </si>
  <si>
    <t>199205052025212004</t>
  </si>
  <si>
    <t>198703162025211022</t>
  </si>
  <si>
    <t>198609182025212032</t>
  </si>
  <si>
    <t>198810222025211025</t>
  </si>
  <si>
    <t>199502072025212001</t>
  </si>
  <si>
    <t>198707292025211003</t>
  </si>
  <si>
    <t>199508102025211032</t>
  </si>
  <si>
    <t>198309132025211023</t>
  </si>
  <si>
    <t>198204292025211021</t>
  </si>
  <si>
    <t>198712102025211036</t>
  </si>
  <si>
    <t>198702012025212001</t>
  </si>
  <si>
    <t>198809012025212026</t>
  </si>
  <si>
    <t>199411062025211018</t>
  </si>
  <si>
    <t>199312142025212002</t>
  </si>
  <si>
    <t>199603302025212019</t>
  </si>
  <si>
    <t>198701062025211001</t>
  </si>
  <si>
    <t>199101292025212027</t>
  </si>
  <si>
    <t>198606182025211028</t>
  </si>
  <si>
    <t>198607042025212018</t>
  </si>
  <si>
    <t>198902142025212001</t>
  </si>
  <si>
    <t>198705112025212030</t>
  </si>
  <si>
    <t>198207032025201016</t>
  </si>
  <si>
    <t>198502252025211003</t>
  </si>
  <si>
    <t>199511062025212026</t>
  </si>
  <si>
    <t>198212082025212018</t>
  </si>
  <si>
    <t>198509122025212001</t>
  </si>
  <si>
    <t>199312122025212003</t>
  </si>
  <si>
    <t>198611062025212034</t>
  </si>
  <si>
    <t>198906022025212030</t>
  </si>
  <si>
    <t>198707292025212015</t>
  </si>
  <si>
    <t>198909232025212031</t>
  </si>
  <si>
    <t>198912142025211002</t>
  </si>
  <si>
    <t>199803132025211007</t>
  </si>
  <si>
    <t>199902162025212001</t>
  </si>
  <si>
    <t>199703082025212019</t>
  </si>
  <si>
    <t>198807202025212023</t>
  </si>
  <si>
    <t>199505092025212032</t>
  </si>
  <si>
    <t>198909132025212001</t>
  </si>
  <si>
    <t>199208052025212041</t>
  </si>
  <si>
    <t>198810262025212027</t>
  </si>
  <si>
    <t>198901042025212020</t>
  </si>
  <si>
    <t>198306142025212002</t>
  </si>
  <si>
    <t>199002042025211027</t>
  </si>
  <si>
    <t>199208242025211003</t>
  </si>
  <si>
    <t>200005062025211001</t>
  </si>
  <si>
    <t>199602202025212004</t>
  </si>
  <si>
    <t>198311132025211010</t>
  </si>
  <si>
    <t>199109302025212002</t>
  </si>
  <si>
    <t>198705112025212029</t>
  </si>
  <si>
    <t>198101082025211001</t>
  </si>
  <si>
    <t>198402162025212014</t>
  </si>
  <si>
    <t>198403152025211028</t>
  </si>
  <si>
    <t>198209212025212019</t>
  </si>
  <si>
    <t>197901042025212007</t>
  </si>
  <si>
    <t>198608222025212024</t>
  </si>
  <si>
    <t>198907082025212018</t>
  </si>
  <si>
    <t>197609052025212012</t>
  </si>
  <si>
    <t>199702162025212019</t>
  </si>
  <si>
    <t>199512252025212002</t>
  </si>
  <si>
    <t>199110102025212056</t>
  </si>
  <si>
    <t>199901022025212023</t>
  </si>
  <si>
    <t>198607082025212028</t>
  </si>
  <si>
    <t>198702082025212002</t>
  </si>
  <si>
    <t>Gol. Ruang</t>
  </si>
  <si>
    <t>199912142025211004</t>
  </si>
  <si>
    <t>198210272025212001</t>
  </si>
  <si>
    <t>198802272025211001</t>
  </si>
  <si>
    <t>199102192025211011</t>
  </si>
  <si>
    <t>198903282025211001</t>
  </si>
  <si>
    <t>198405162025212016</t>
  </si>
  <si>
    <t>197710222025212010</t>
  </si>
  <si>
    <t>198306142025212018</t>
  </si>
  <si>
    <t>198706122025212029</t>
  </si>
  <si>
    <t>198612162025211017</t>
  </si>
  <si>
    <t>198505052025212003</t>
  </si>
  <si>
    <t>198609102025211003</t>
  </si>
  <si>
    <t>199107182025212037</t>
  </si>
  <si>
    <t>198705052025212001</t>
  </si>
  <si>
    <t>197908102025212018</t>
  </si>
  <si>
    <t>198911092025212001</t>
  </si>
  <si>
    <t>198808312025212002</t>
  </si>
  <si>
    <t>198705202025211014</t>
  </si>
  <si>
    <t>199407192025211022</t>
  </si>
  <si>
    <t>199510182025212027</t>
  </si>
  <si>
    <t>C. TENAGA HONORER</t>
  </si>
  <si>
    <t>BID/SUB</t>
  </si>
  <si>
    <t xml:space="preserve">Sekretariat </t>
  </si>
  <si>
    <t>P5TK</t>
  </si>
  <si>
    <t>PKT</t>
  </si>
  <si>
    <t>PKTP3</t>
  </si>
  <si>
    <t>D. JUMLAH SUB/BIDANG</t>
  </si>
  <si>
    <t>PHI</t>
  </si>
  <si>
    <t>PKTDT</t>
  </si>
  <si>
    <t>UPT.WIL-II</t>
  </si>
  <si>
    <t>UPT.WIL-I</t>
  </si>
  <si>
    <t>KEPALA DINAS TENAGA KERJA DAN TRANSMIGRASI</t>
  </si>
  <si>
    <t>MUH.SYAHRUL SYAM, S.STP.,M.Si</t>
  </si>
  <si>
    <t>198101062000031001</t>
  </si>
  <si>
    <t>DATA PENSIUN BULAN JULI 2026</t>
  </si>
  <si>
    <t>DJOHAN INDARTO, S.STP., M.Si</t>
  </si>
  <si>
    <t xml:space="preserve">     
198101071999121001</t>
  </si>
  <si>
    <t>197208072006041014</t>
  </si>
  <si>
    <t>198611302014082001</t>
  </si>
  <si>
    <t>199911222025041004</t>
  </si>
  <si>
    <t>199310182025211122</t>
  </si>
  <si>
    <t>DATA PENSIUN BULAN AGUSTUS 2026</t>
  </si>
  <si>
    <t>F.</t>
  </si>
  <si>
    <t>DATA PENSIUN BULAN SEPTEMBER 2026</t>
  </si>
  <si>
    <t>BULAN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</si>
</sst>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charset val="1"/>
      <scheme val="minor"/>
    </font>
    <font>
      <sz val="9"/>
      <color theme="1"/>
      <name val="Arial"/>
      <family val="2"/>
    </font>
    <font>
      <sz val="9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0"/>
      <color theme="0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  <font>
      <sz val="11"/>
      <name val="Calibri"/>
      <family val="2"/>
      <charset val="1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2" fillId="0" borderId="6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6" fillId="0" borderId="9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7" fillId="0" borderId="0" xfId="0" applyFont="1"/>
    <xf numFmtId="0" fontId="6" fillId="2" borderId="6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3" fillId="3" borderId="6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2" borderId="6" xfId="0" applyFont="1" applyFill="1" applyBorder="1" applyAlignment="1">
      <alignment wrapText="1"/>
    </xf>
    <xf numFmtId="0" fontId="3" fillId="0" borderId="7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2" fillId="2" borderId="6" xfId="0" quotePrefix="1" applyFont="1" applyFill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wrapText="1"/>
    </xf>
    <xf numFmtId="0" fontId="4" fillId="0" borderId="6" xfId="0" quotePrefix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1" fillId="0" borderId="0" xfId="0" applyFont="1"/>
    <xf numFmtId="0" fontId="8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wrapText="1"/>
    </xf>
    <xf numFmtId="0" fontId="2" fillId="0" borderId="38" xfId="0" applyFont="1" applyBorder="1" applyAlignment="1">
      <alignment wrapText="1"/>
    </xf>
    <xf numFmtId="0" fontId="3" fillId="0" borderId="36" xfId="0" applyFont="1" applyBorder="1"/>
    <xf numFmtId="0" fontId="13" fillId="0" borderId="9" xfId="0" applyFont="1" applyBorder="1" applyAlignment="1">
      <alignment wrapText="1"/>
    </xf>
    <xf numFmtId="0" fontId="12" fillId="0" borderId="0" xfId="0" applyFont="1"/>
    <xf numFmtId="0" fontId="14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6" xfId="0" quotePrefix="1" applyNumberFormat="1" applyFont="1" applyBorder="1" applyAlignment="1">
      <alignment horizontal="center" vertical="center" wrapText="1"/>
    </xf>
    <xf numFmtId="49" fontId="2" fillId="0" borderId="6" xfId="0" quotePrefix="1" applyNumberFormat="1" applyFont="1" applyBorder="1" applyAlignment="1">
      <alignment horizontal="center" wrapText="1"/>
    </xf>
    <xf numFmtId="49" fontId="2" fillId="0" borderId="6" xfId="0" applyNumberFormat="1" applyFont="1" applyBorder="1" applyAlignment="1">
      <alignment horizontal="center" wrapText="1"/>
    </xf>
    <xf numFmtId="0" fontId="2" fillId="0" borderId="0" xfId="0" quotePrefix="1" applyFont="1" applyAlignment="1">
      <alignment horizontal="center"/>
    </xf>
    <xf numFmtId="0" fontId="3" fillId="0" borderId="36" xfId="0" applyFont="1" applyBorder="1" applyAlignment="1">
      <alignment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2" fillId="0" borderId="39" xfId="0" quotePrefix="1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vertical="center" wrapText="1"/>
    </xf>
    <xf numFmtId="0" fontId="9" fillId="4" borderId="34" xfId="0" quotePrefix="1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left" vertical="center" wrapText="1"/>
    </xf>
    <xf numFmtId="0" fontId="9" fillId="4" borderId="31" xfId="0" quotePrefix="1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 wrapText="1"/>
    </xf>
    <xf numFmtId="0" fontId="9" fillId="4" borderId="31" xfId="0" quotePrefix="1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left" vertical="center" wrapText="1"/>
    </xf>
    <xf numFmtId="49" fontId="2" fillId="4" borderId="39" xfId="0" applyNumberFormat="1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vertical="center" wrapText="1"/>
    </xf>
    <xf numFmtId="0" fontId="2" fillId="0" borderId="34" xfId="0" quotePrefix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3" fillId="3" borderId="24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9" fillId="0" borderId="6" xfId="0" applyFont="1" applyBorder="1" applyAlignment="1">
      <alignment wrapText="1"/>
    </xf>
    <xf numFmtId="9" fontId="15" fillId="0" borderId="6" xfId="0" applyNumberFormat="1" applyFont="1" applyBorder="1" applyAlignment="1">
      <alignment horizontal="center" wrapText="1"/>
    </xf>
    <xf numFmtId="0" fontId="9" fillId="0" borderId="9" xfId="0" applyFont="1" applyBorder="1" applyAlignment="1">
      <alignment wrapText="1"/>
    </xf>
    <xf numFmtId="0" fontId="16" fillId="0" borderId="0" xfId="0" applyFont="1"/>
    <xf numFmtId="0" fontId="15" fillId="0" borderId="13" xfId="0" applyFont="1" applyBorder="1" applyAlignment="1">
      <alignment vertical="center"/>
    </xf>
    <xf numFmtId="0" fontId="9" fillId="0" borderId="13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15" fillId="3" borderId="23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1" xfId="0" applyFont="1" applyFill="1" applyBorder="1" applyAlignment="1">
      <alignment horizontal="center" wrapText="1"/>
    </xf>
    <xf numFmtId="0" fontId="3" fillId="0" borderId="43" xfId="0" applyFont="1" applyBorder="1" applyAlignment="1">
      <alignment wrapText="1"/>
    </xf>
    <xf numFmtId="0" fontId="3" fillId="0" borderId="21" xfId="0" applyFont="1" applyBorder="1"/>
    <xf numFmtId="0" fontId="15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3" fillId="3" borderId="36" xfId="0" applyFont="1" applyFill="1" applyBorder="1" applyAlignment="1">
      <alignment horizontal="center" wrapText="1"/>
    </xf>
    <xf numFmtId="0" fontId="3" fillId="3" borderId="39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15" fillId="3" borderId="39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quotePrefix="1" applyFont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6" xfId="0" quotePrefix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44" xfId="0" quotePrefix="1" applyFont="1" applyBorder="1" applyAlignment="1">
      <alignment horizontal="center" vertical="center" wrapText="1"/>
    </xf>
    <xf numFmtId="0" fontId="17" fillId="4" borderId="36" xfId="0" quotePrefix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0" borderId="44" xfId="0" quotePrefix="1" applyFont="1" applyBorder="1" applyAlignment="1">
      <alignment horizontal="center" vertical="center" wrapText="1"/>
    </xf>
    <xf numFmtId="0" fontId="9" fillId="4" borderId="36" xfId="0" quotePrefix="1" applyFont="1" applyFill="1" applyBorder="1" applyAlignment="1">
      <alignment horizontal="center" vertical="center"/>
    </xf>
    <xf numFmtId="0" fontId="19" fillId="0" borderId="0" xfId="0" applyFont="1"/>
    <xf numFmtId="0" fontId="15" fillId="3" borderId="36" xfId="0" applyFont="1" applyFill="1" applyBorder="1" applyAlignment="1">
      <alignment horizontal="center" wrapText="1"/>
    </xf>
    <xf numFmtId="0" fontId="2" fillId="0" borderId="36" xfId="0" applyFont="1" applyBorder="1" applyAlignment="1">
      <alignment vertical="center" wrapText="1"/>
    </xf>
    <xf numFmtId="0" fontId="2" fillId="2" borderId="44" xfId="0" quotePrefix="1" applyFont="1" applyFill="1" applyBorder="1" applyAlignment="1">
      <alignment horizontal="center" vertical="center" wrapText="1"/>
    </xf>
    <xf numFmtId="0" fontId="2" fillId="0" borderId="36" xfId="0" quotePrefix="1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 wrapText="1"/>
    </xf>
    <xf numFmtId="49" fontId="2" fillId="0" borderId="44" xfId="0" quotePrefix="1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left" vertical="center"/>
    </xf>
    <xf numFmtId="49" fontId="2" fillId="0" borderId="36" xfId="0" quotePrefix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wrapText="1"/>
    </xf>
    <xf numFmtId="0" fontId="15" fillId="3" borderId="36" xfId="0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2" fillId="2" borderId="39" xfId="0" applyFont="1" applyFill="1" applyBorder="1" applyAlignment="1">
      <alignment vertical="center" wrapText="1"/>
    </xf>
    <xf numFmtId="0" fontId="2" fillId="2" borderId="39" xfId="0" quotePrefix="1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14" fontId="2" fillId="2" borderId="39" xfId="0" applyNumberFormat="1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2" fillId="0" borderId="47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14" fontId="0" fillId="0" borderId="36" xfId="0" applyNumberFormat="1" applyBorder="1"/>
    <xf numFmtId="0" fontId="9" fillId="0" borderId="6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3" fillId="0" borderId="8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5" fillId="0" borderId="8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14" fillId="0" borderId="14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15" fillId="3" borderId="8" xfId="0" applyFont="1" applyFill="1" applyBorder="1" applyAlignment="1">
      <alignment horizontal="center" wrapText="1"/>
    </xf>
    <xf numFmtId="0" fontId="15" fillId="3" borderId="4" xfId="0" applyFont="1" applyFill="1" applyBorder="1" applyAlignment="1">
      <alignment horizontal="center" wrapText="1"/>
    </xf>
    <xf numFmtId="0" fontId="15" fillId="3" borderId="5" xfId="0" applyFont="1" applyFill="1" applyBorder="1" applyAlignment="1">
      <alignment horizontal="center" wrapText="1"/>
    </xf>
    <xf numFmtId="0" fontId="15" fillId="0" borderId="14" xfId="0" applyFont="1" applyBorder="1" applyAlignment="1">
      <alignment wrapText="1"/>
    </xf>
    <xf numFmtId="0" fontId="15" fillId="0" borderId="15" xfId="0" applyFont="1" applyBorder="1" applyAlignment="1">
      <alignment wrapText="1"/>
    </xf>
    <xf numFmtId="0" fontId="15" fillId="0" borderId="16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16" xfId="0" applyFont="1" applyBorder="1" applyAlignment="1">
      <alignment wrapText="1"/>
    </xf>
    <xf numFmtId="0" fontId="3" fillId="3" borderId="8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14" fillId="0" borderId="14" xfId="0" applyFont="1" applyBorder="1" applyAlignment="1">
      <alignment wrapText="1"/>
    </xf>
    <xf numFmtId="0" fontId="14" fillId="0" borderId="15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454D-2E90-4E32-AB25-72F14D3579FC}">
  <dimension ref="A1:U73"/>
  <sheetViews>
    <sheetView topLeftCell="C1" workbookViewId="0">
      <selection activeCell="H39" sqref="H39:K39"/>
    </sheetView>
  </sheetViews>
  <sheetFormatPr defaultRowHeight="14.4" x14ac:dyDescent="0.3"/>
  <cols>
    <col min="1" max="1" width="6" customWidth="1"/>
    <col min="2" max="2" width="30.33203125" customWidth="1"/>
    <col min="3" max="3" width="18.33203125" customWidth="1"/>
    <col min="4" max="4" width="17.88671875" customWidth="1"/>
    <col min="5" max="5" width="10" customWidth="1"/>
    <col min="6" max="6" width="11.33203125" customWidth="1"/>
    <col min="7" max="7" width="34.109375" customWidth="1"/>
    <col min="8" max="9" width="9.109375" style="57"/>
    <col min="10" max="10" width="12.44140625" style="57" customWidth="1"/>
    <col min="11" max="11" width="18.109375" style="57" customWidth="1"/>
    <col min="12" max="12" width="13.44140625" style="57" customWidth="1"/>
    <col min="13" max="15" width="9.109375" style="57"/>
    <col min="16" max="16" width="14.6640625" style="57" customWidth="1"/>
    <col min="17" max="17" width="16" style="57" customWidth="1"/>
    <col min="18" max="18" width="11.88671875" style="57" customWidth="1"/>
    <col min="19" max="21" width="9.109375" style="57"/>
  </cols>
  <sheetData>
    <row r="1" spans="1:16" ht="16.2" thickBot="1" x14ac:dyDescent="0.35">
      <c r="A1" s="5" t="s">
        <v>16</v>
      </c>
      <c r="B1" s="28"/>
      <c r="C1" s="28"/>
      <c r="D1" s="28"/>
      <c r="E1" s="28"/>
      <c r="F1" s="28"/>
      <c r="G1" s="28"/>
      <c r="H1" s="56"/>
      <c r="I1" s="56"/>
      <c r="J1" s="56"/>
      <c r="K1" s="56"/>
      <c r="L1" s="56"/>
      <c r="M1" s="56"/>
      <c r="N1" s="56"/>
      <c r="O1" s="56"/>
      <c r="P1" s="56"/>
    </row>
    <row r="2" spans="1:16" ht="15" thickBot="1" x14ac:dyDescent="0.35">
      <c r="A2" s="28"/>
      <c r="B2" s="28"/>
      <c r="C2" s="28"/>
      <c r="D2" s="28"/>
      <c r="E2" s="28"/>
      <c r="F2" s="28"/>
      <c r="G2" s="28"/>
      <c r="H2" s="56"/>
      <c r="I2" s="56"/>
      <c r="J2" s="56"/>
      <c r="K2" s="56"/>
      <c r="L2" s="56"/>
      <c r="M2" s="56"/>
      <c r="N2" s="56"/>
      <c r="O2" s="56"/>
      <c r="P2" s="56"/>
    </row>
    <row r="3" spans="1:16" ht="16.2" thickBot="1" x14ac:dyDescent="0.35">
      <c r="A3" s="183" t="s">
        <v>409</v>
      </c>
      <c r="B3" s="184"/>
      <c r="C3" s="184"/>
      <c r="D3" s="184"/>
      <c r="E3" s="184"/>
      <c r="F3" s="199"/>
      <c r="G3" s="28"/>
      <c r="H3" s="202" t="s">
        <v>410</v>
      </c>
      <c r="I3" s="203"/>
      <c r="J3" s="203"/>
      <c r="K3" s="203"/>
      <c r="L3" s="203"/>
      <c r="M3" s="203"/>
      <c r="N3" s="203"/>
      <c r="O3" s="203"/>
      <c r="P3" s="204"/>
    </row>
    <row r="4" spans="1:16" ht="16.2" thickBot="1" x14ac:dyDescent="0.35">
      <c r="A4" s="188" t="s">
        <v>411</v>
      </c>
      <c r="B4" s="188" t="s">
        <v>412</v>
      </c>
      <c r="C4" s="200" t="s">
        <v>413</v>
      </c>
      <c r="D4" s="201"/>
      <c r="E4" s="107"/>
      <c r="F4" s="188" t="s">
        <v>414</v>
      </c>
      <c r="G4" s="33"/>
      <c r="H4" s="168" t="s">
        <v>411</v>
      </c>
      <c r="I4" s="168" t="s">
        <v>415</v>
      </c>
      <c r="J4" s="192" t="s">
        <v>416</v>
      </c>
      <c r="K4" s="193"/>
      <c r="L4" s="194"/>
      <c r="M4" s="192" t="s">
        <v>417</v>
      </c>
      <c r="N4" s="193"/>
      <c r="O4" s="194"/>
      <c r="P4" s="168" t="s">
        <v>414</v>
      </c>
    </row>
    <row r="5" spans="1:16" ht="16.2" thickBot="1" x14ac:dyDescent="0.35">
      <c r="A5" s="189"/>
      <c r="B5" s="189"/>
      <c r="C5" s="34" t="s">
        <v>416</v>
      </c>
      <c r="D5" s="34" t="s">
        <v>417</v>
      </c>
      <c r="E5" s="113"/>
      <c r="F5" s="189"/>
      <c r="G5" s="33"/>
      <c r="H5" s="170"/>
      <c r="I5" s="170"/>
      <c r="J5" s="95" t="s">
        <v>106</v>
      </c>
      <c r="K5" s="95" t="s">
        <v>87</v>
      </c>
      <c r="L5" s="95" t="s">
        <v>418</v>
      </c>
      <c r="M5" s="95" t="s">
        <v>106</v>
      </c>
      <c r="N5" s="95" t="s">
        <v>87</v>
      </c>
      <c r="O5" s="95" t="s">
        <v>418</v>
      </c>
      <c r="P5" s="170"/>
    </row>
    <row r="6" spans="1:16" ht="16.2" thickBot="1" x14ac:dyDescent="0.35">
      <c r="A6" s="35">
        <v>1</v>
      </c>
      <c r="B6" s="3" t="s">
        <v>106</v>
      </c>
      <c r="C6" s="3">
        <v>71</v>
      </c>
      <c r="D6" s="3">
        <v>44</v>
      </c>
      <c r="E6" s="3"/>
      <c r="F6" s="3">
        <f>SUM(C6,D6)</f>
        <v>115</v>
      </c>
      <c r="G6" s="33"/>
      <c r="H6" s="96">
        <v>1</v>
      </c>
      <c r="I6" s="96" t="s">
        <v>419</v>
      </c>
      <c r="J6" s="97"/>
      <c r="K6" s="97"/>
      <c r="L6" s="97"/>
      <c r="M6" s="97"/>
      <c r="N6" s="97"/>
      <c r="O6" s="97"/>
      <c r="P6" s="97"/>
    </row>
    <row r="7" spans="1:16" ht="16.2" thickBot="1" x14ac:dyDescent="0.35">
      <c r="A7" s="35">
        <v>2</v>
      </c>
      <c r="B7" s="3" t="s">
        <v>87</v>
      </c>
      <c r="C7" s="3">
        <v>46</v>
      </c>
      <c r="D7" s="3">
        <v>81</v>
      </c>
      <c r="E7" s="3"/>
      <c r="F7" s="3">
        <f>SUM(C7,D7)</f>
        <v>127</v>
      </c>
      <c r="G7" s="33"/>
      <c r="H7" s="96">
        <v>2</v>
      </c>
      <c r="I7" s="96" t="s">
        <v>225</v>
      </c>
      <c r="J7" s="97"/>
      <c r="K7" s="97"/>
      <c r="L7" s="98">
        <v>0</v>
      </c>
      <c r="M7" s="96">
        <v>1</v>
      </c>
      <c r="N7" s="97"/>
      <c r="O7" s="98">
        <v>1</v>
      </c>
      <c r="P7" s="96">
        <v>1</v>
      </c>
    </row>
    <row r="8" spans="1:16" ht="31.2" thickBot="1" x14ac:dyDescent="0.35">
      <c r="A8" s="198" t="s">
        <v>420</v>
      </c>
      <c r="B8" s="157"/>
      <c r="C8" s="3">
        <f>SUM(C6:C7)</f>
        <v>117</v>
      </c>
      <c r="D8" s="3">
        <f>SUM(D6:D7)</f>
        <v>125</v>
      </c>
      <c r="E8" s="3"/>
      <c r="F8" s="3">
        <f>SUM(F6:F7)</f>
        <v>242</v>
      </c>
      <c r="G8" s="33"/>
      <c r="H8" s="96">
        <v>3</v>
      </c>
      <c r="I8" s="96" t="s">
        <v>178</v>
      </c>
      <c r="J8" s="96">
        <v>8</v>
      </c>
      <c r="K8" s="96">
        <v>6</v>
      </c>
      <c r="L8" s="98">
        <v>0.54</v>
      </c>
      <c r="M8" s="96">
        <v>3</v>
      </c>
      <c r="N8" s="96">
        <v>9</v>
      </c>
      <c r="O8" s="98">
        <v>0.46</v>
      </c>
      <c r="P8" s="96">
        <v>26</v>
      </c>
    </row>
    <row r="9" spans="1:16" ht="16.2" thickBot="1" x14ac:dyDescent="0.35">
      <c r="A9" s="28"/>
      <c r="B9" s="28"/>
      <c r="C9" s="28"/>
      <c r="D9" s="28"/>
      <c r="E9" s="28"/>
      <c r="F9" s="28"/>
      <c r="G9" s="33"/>
      <c r="H9" s="96">
        <v>4</v>
      </c>
      <c r="I9" s="96" t="s">
        <v>421</v>
      </c>
      <c r="J9" s="97"/>
      <c r="K9" s="97"/>
      <c r="L9" s="97"/>
      <c r="M9" s="97"/>
      <c r="N9" s="97"/>
      <c r="O9" s="97"/>
      <c r="P9" s="97"/>
    </row>
    <row r="10" spans="1:16" ht="16.2" thickBot="1" x14ac:dyDescent="0.35">
      <c r="A10" s="183" t="s">
        <v>422</v>
      </c>
      <c r="B10" s="184"/>
      <c r="C10" s="184"/>
      <c r="D10" s="184"/>
      <c r="E10" s="184"/>
      <c r="F10" s="199"/>
      <c r="G10" s="33"/>
      <c r="H10" s="96">
        <v>5</v>
      </c>
      <c r="I10" s="96" t="s">
        <v>423</v>
      </c>
      <c r="J10" s="97"/>
      <c r="K10" s="97"/>
      <c r="L10" s="97"/>
      <c r="M10" s="97"/>
      <c r="N10" s="97"/>
      <c r="O10" s="97"/>
      <c r="P10" s="97"/>
    </row>
    <row r="11" spans="1:16" ht="16.2" thickBot="1" x14ac:dyDescent="0.35">
      <c r="A11" s="188" t="s">
        <v>411</v>
      </c>
      <c r="B11" s="188" t="s">
        <v>424</v>
      </c>
      <c r="C11" s="200" t="s">
        <v>413</v>
      </c>
      <c r="D11" s="201"/>
      <c r="E11" s="107"/>
      <c r="F11" s="188" t="s">
        <v>414</v>
      </c>
      <c r="G11" s="33"/>
      <c r="H11" s="96">
        <v>6</v>
      </c>
      <c r="I11" s="96" t="s">
        <v>164</v>
      </c>
      <c r="J11" s="96">
        <v>2</v>
      </c>
      <c r="K11" s="97"/>
      <c r="L11" s="98">
        <v>0.75</v>
      </c>
      <c r="M11" s="96">
        <v>1</v>
      </c>
      <c r="N11" s="97"/>
      <c r="O11" s="98">
        <v>0.25</v>
      </c>
      <c r="P11" s="96">
        <v>3</v>
      </c>
    </row>
    <row r="12" spans="1:16" ht="16.2" thickBot="1" x14ac:dyDescent="0.35">
      <c r="A12" s="189"/>
      <c r="B12" s="189"/>
      <c r="C12" s="34" t="s">
        <v>416</v>
      </c>
      <c r="D12" s="34" t="s">
        <v>417</v>
      </c>
      <c r="E12" s="108"/>
      <c r="F12" s="189"/>
      <c r="G12" s="33"/>
      <c r="H12" s="96">
        <v>7</v>
      </c>
      <c r="I12" s="96" t="s">
        <v>14</v>
      </c>
      <c r="J12" s="96">
        <v>42</v>
      </c>
      <c r="K12" s="96">
        <v>40</v>
      </c>
      <c r="L12" s="98">
        <v>0.46</v>
      </c>
      <c r="M12" s="96">
        <v>25</v>
      </c>
      <c r="N12" s="96">
        <v>71</v>
      </c>
      <c r="O12" s="98">
        <v>0.54</v>
      </c>
      <c r="P12" s="96">
        <f>SUM(J12,K12,M12,N12)</f>
        <v>178</v>
      </c>
    </row>
    <row r="13" spans="1:16" ht="16.2" thickBot="1" x14ac:dyDescent="0.35">
      <c r="A13" s="35">
        <v>1</v>
      </c>
      <c r="B13" s="3" t="s">
        <v>425</v>
      </c>
      <c r="C13" s="36"/>
      <c r="D13" s="36"/>
      <c r="E13" s="36"/>
      <c r="F13" s="36"/>
      <c r="G13" s="33"/>
      <c r="H13" s="96">
        <v>8</v>
      </c>
      <c r="I13" s="96" t="s">
        <v>18</v>
      </c>
      <c r="J13" s="96">
        <v>19</v>
      </c>
      <c r="K13" s="97"/>
      <c r="L13" s="98">
        <v>0.56000000000000005</v>
      </c>
      <c r="M13" s="96">
        <v>14</v>
      </c>
      <c r="N13" s="152">
        <v>1</v>
      </c>
      <c r="O13" s="98">
        <v>0.44</v>
      </c>
      <c r="P13" s="96">
        <v>34</v>
      </c>
    </row>
    <row r="14" spans="1:16" ht="16.2" thickBot="1" x14ac:dyDescent="0.35">
      <c r="A14" s="35">
        <v>2</v>
      </c>
      <c r="B14" s="3" t="s">
        <v>426</v>
      </c>
      <c r="C14" s="36"/>
      <c r="D14" s="36"/>
      <c r="E14" s="36"/>
      <c r="F14" s="36"/>
      <c r="G14" s="33"/>
      <c r="H14" s="96">
        <v>9</v>
      </c>
      <c r="I14" s="96" t="s">
        <v>427</v>
      </c>
      <c r="J14" s="97"/>
      <c r="K14" s="97"/>
      <c r="L14" s="97"/>
      <c r="M14" s="97"/>
      <c r="N14" s="97"/>
      <c r="O14" s="97"/>
      <c r="P14" s="97"/>
    </row>
    <row r="15" spans="1:16" ht="16.2" thickBot="1" x14ac:dyDescent="0.35">
      <c r="A15" s="35">
        <v>3</v>
      </c>
      <c r="B15" s="3" t="s">
        <v>428</v>
      </c>
      <c r="C15" s="36"/>
      <c r="D15" s="36"/>
      <c r="E15" s="36"/>
      <c r="F15" s="36"/>
      <c r="G15" s="33"/>
      <c r="H15" s="153" t="s">
        <v>420</v>
      </c>
      <c r="I15" s="154"/>
      <c r="J15" s="96">
        <f>SUM(J8:J14)</f>
        <v>71</v>
      </c>
      <c r="K15" s="96">
        <f>SUM(K8:K14)</f>
        <v>46</v>
      </c>
      <c r="L15" s="98">
        <v>0.49</v>
      </c>
      <c r="M15" s="96">
        <f>SUM(M7:M14)</f>
        <v>44</v>
      </c>
      <c r="N15" s="96">
        <f>SUM(N7:N14)</f>
        <v>81</v>
      </c>
      <c r="O15" s="98">
        <v>0.52</v>
      </c>
      <c r="P15" s="96">
        <f>SUM(P7:P14)</f>
        <v>242</v>
      </c>
    </row>
    <row r="16" spans="1:16" ht="16.2" thickBot="1" x14ac:dyDescent="0.35">
      <c r="A16" s="35">
        <v>4</v>
      </c>
      <c r="B16" s="3" t="s">
        <v>429</v>
      </c>
      <c r="C16" s="36"/>
      <c r="D16" s="36"/>
      <c r="E16" s="36"/>
      <c r="F16" s="36"/>
      <c r="G16" s="28"/>
      <c r="H16" s="56"/>
      <c r="I16" s="56"/>
      <c r="J16" s="56"/>
      <c r="K16" s="56"/>
      <c r="L16" s="56"/>
      <c r="M16" s="56"/>
      <c r="N16" s="56"/>
      <c r="O16" s="56"/>
      <c r="P16" s="56"/>
    </row>
    <row r="17" spans="1:18" ht="16.2" thickBot="1" x14ac:dyDescent="0.35">
      <c r="A17" s="35">
        <v>5</v>
      </c>
      <c r="B17" s="3" t="s">
        <v>209</v>
      </c>
      <c r="C17" s="30">
        <v>1</v>
      </c>
      <c r="D17" s="36"/>
      <c r="E17" s="36"/>
      <c r="F17" s="30">
        <f>SUM(C17:E17)</f>
        <v>1</v>
      </c>
      <c r="G17" s="28"/>
      <c r="H17" s="195" t="s">
        <v>430</v>
      </c>
      <c r="I17" s="196"/>
      <c r="J17" s="196"/>
      <c r="K17" s="196"/>
      <c r="L17" s="197"/>
      <c r="M17" s="56"/>
      <c r="N17" s="56"/>
      <c r="O17" s="56"/>
      <c r="P17" s="56"/>
    </row>
    <row r="18" spans="1:18" ht="16.5" customHeight="1" thickBot="1" x14ac:dyDescent="0.35">
      <c r="A18" s="35">
        <v>6</v>
      </c>
      <c r="B18" s="3" t="s">
        <v>177</v>
      </c>
      <c r="C18" s="30">
        <v>3</v>
      </c>
      <c r="D18" s="36"/>
      <c r="E18" s="36"/>
      <c r="F18" s="30">
        <f t="shared" ref="F18:F34" si="0">SUM(C18:E18)</f>
        <v>3</v>
      </c>
      <c r="G18" s="33"/>
      <c r="H18" s="95" t="s">
        <v>411</v>
      </c>
      <c r="I18" s="95" t="s">
        <v>431</v>
      </c>
      <c r="J18" s="95" t="s">
        <v>432</v>
      </c>
      <c r="K18" s="95" t="s">
        <v>433</v>
      </c>
      <c r="L18" s="95" t="s">
        <v>434</v>
      </c>
      <c r="M18" s="99"/>
      <c r="N18" s="99"/>
      <c r="O18" s="99"/>
      <c r="P18" s="99"/>
      <c r="Q18" s="100"/>
      <c r="R18" s="100"/>
    </row>
    <row r="19" spans="1:18" ht="17.25" customHeight="1" thickBot="1" x14ac:dyDescent="0.35">
      <c r="A19" s="35">
        <v>7</v>
      </c>
      <c r="B19" s="3" t="s">
        <v>185</v>
      </c>
      <c r="C19" s="30">
        <v>1</v>
      </c>
      <c r="D19" s="30">
        <v>3</v>
      </c>
      <c r="E19" s="30"/>
      <c r="F19" s="30">
        <f t="shared" si="0"/>
        <v>4</v>
      </c>
      <c r="G19" s="33"/>
      <c r="H19" s="96">
        <v>1</v>
      </c>
      <c r="I19" s="96" t="s">
        <v>435</v>
      </c>
      <c r="J19" s="97"/>
      <c r="K19" s="97"/>
      <c r="L19" s="97"/>
      <c r="M19" s="99"/>
      <c r="N19" s="99"/>
      <c r="O19" s="99"/>
      <c r="P19" s="99"/>
      <c r="Q19" s="100"/>
      <c r="R19" s="100"/>
    </row>
    <row r="20" spans="1:18" ht="17.25" customHeight="1" thickBot="1" x14ac:dyDescent="0.35">
      <c r="A20" s="35">
        <v>8</v>
      </c>
      <c r="B20" s="3" t="s">
        <v>175</v>
      </c>
      <c r="C20" s="30">
        <v>2</v>
      </c>
      <c r="D20" s="138" t="s">
        <v>643</v>
      </c>
      <c r="E20" s="36"/>
      <c r="F20" s="30">
        <f t="shared" si="0"/>
        <v>2</v>
      </c>
      <c r="G20" s="33"/>
      <c r="H20" s="96">
        <v>2</v>
      </c>
      <c r="I20" s="96" t="s">
        <v>15</v>
      </c>
      <c r="J20" s="96">
        <v>1</v>
      </c>
      <c r="K20" s="96">
        <v>1</v>
      </c>
      <c r="L20" s="96">
        <v>0</v>
      </c>
      <c r="M20" s="99"/>
      <c r="N20" s="99"/>
      <c r="O20" s="99"/>
      <c r="P20" s="99"/>
      <c r="Q20" s="100"/>
      <c r="R20" s="100"/>
    </row>
    <row r="21" spans="1:18" ht="17.25" customHeight="1" thickBot="1" x14ac:dyDescent="0.35">
      <c r="A21" s="35">
        <v>9</v>
      </c>
      <c r="B21" s="3" t="s">
        <v>110</v>
      </c>
      <c r="C21" s="30">
        <v>7</v>
      </c>
      <c r="D21" s="30">
        <v>3</v>
      </c>
      <c r="E21" s="30"/>
      <c r="F21" s="30">
        <f t="shared" si="0"/>
        <v>10</v>
      </c>
      <c r="G21" s="33"/>
      <c r="H21" s="96">
        <v>3</v>
      </c>
      <c r="I21" s="96" t="s">
        <v>436</v>
      </c>
      <c r="J21" s="97"/>
      <c r="K21" s="97"/>
      <c r="L21" s="97"/>
      <c r="M21" s="99"/>
      <c r="N21" s="99"/>
      <c r="O21" s="99"/>
      <c r="P21" s="99"/>
      <c r="Q21" s="100"/>
      <c r="R21" s="100"/>
    </row>
    <row r="22" spans="1:18" ht="17.25" customHeight="1" thickBot="1" x14ac:dyDescent="0.35">
      <c r="A22" s="35">
        <v>10</v>
      </c>
      <c r="B22" s="3" t="s">
        <v>117</v>
      </c>
      <c r="C22" s="30">
        <v>11</v>
      </c>
      <c r="D22" s="30">
        <v>8</v>
      </c>
      <c r="E22" s="30"/>
      <c r="F22" s="30">
        <f t="shared" si="0"/>
        <v>19</v>
      </c>
      <c r="G22" s="33"/>
      <c r="H22" s="96">
        <v>4</v>
      </c>
      <c r="I22" s="96" t="s">
        <v>19</v>
      </c>
      <c r="J22" s="96">
        <v>6</v>
      </c>
      <c r="K22" s="96">
        <v>5</v>
      </c>
      <c r="L22" s="96">
        <v>1</v>
      </c>
      <c r="M22" s="99"/>
      <c r="N22" s="101" t="s">
        <v>437</v>
      </c>
      <c r="O22" s="102"/>
      <c r="P22" s="102"/>
      <c r="Q22" s="100"/>
      <c r="R22" s="100"/>
    </row>
    <row r="23" spans="1:18" ht="17.25" customHeight="1" thickBot="1" x14ac:dyDescent="0.35">
      <c r="A23" s="35">
        <v>11</v>
      </c>
      <c r="B23" s="3" t="s">
        <v>107</v>
      </c>
      <c r="C23" s="30">
        <v>12</v>
      </c>
      <c r="D23" s="30">
        <v>4</v>
      </c>
      <c r="E23" s="30"/>
      <c r="F23" s="30">
        <f t="shared" si="0"/>
        <v>16</v>
      </c>
      <c r="G23" s="33"/>
      <c r="H23" s="96">
        <v>5</v>
      </c>
      <c r="I23" s="96" t="s">
        <v>64</v>
      </c>
      <c r="J23" s="96">
        <v>2</v>
      </c>
      <c r="K23" s="96">
        <v>2</v>
      </c>
      <c r="L23" s="96">
        <v>0</v>
      </c>
      <c r="M23" s="103"/>
      <c r="N23" s="95" t="s">
        <v>411</v>
      </c>
      <c r="O23" s="95" t="s">
        <v>415</v>
      </c>
      <c r="P23" s="113" t="s">
        <v>416</v>
      </c>
      <c r="Q23" s="114" t="s">
        <v>417</v>
      </c>
      <c r="R23" s="114" t="s">
        <v>414</v>
      </c>
    </row>
    <row r="24" spans="1:18" ht="17.25" customHeight="1" thickBot="1" x14ac:dyDescent="0.35">
      <c r="A24" s="35">
        <v>12</v>
      </c>
      <c r="B24" s="3" t="s">
        <v>23</v>
      </c>
      <c r="C24" s="30">
        <v>14</v>
      </c>
      <c r="D24" s="30">
        <v>10</v>
      </c>
      <c r="E24" s="30"/>
      <c r="F24" s="30">
        <f t="shared" si="0"/>
        <v>24</v>
      </c>
      <c r="G24" s="33"/>
      <c r="H24" s="96">
        <v>6</v>
      </c>
      <c r="I24" s="96" t="s">
        <v>24</v>
      </c>
      <c r="J24" s="96">
        <v>19</v>
      </c>
      <c r="K24" s="96">
        <v>18</v>
      </c>
      <c r="L24" s="96">
        <v>1</v>
      </c>
      <c r="M24" s="103"/>
      <c r="N24" s="96">
        <v>1</v>
      </c>
      <c r="O24" s="96" t="s">
        <v>419</v>
      </c>
      <c r="P24" s="115"/>
      <c r="Q24" s="17"/>
      <c r="R24" s="17"/>
    </row>
    <row r="25" spans="1:18" ht="17.25" customHeight="1" thickBot="1" x14ac:dyDescent="0.35">
      <c r="A25" s="35">
        <v>13</v>
      </c>
      <c r="B25" s="3" t="s">
        <v>29</v>
      </c>
      <c r="C25" s="30">
        <v>14</v>
      </c>
      <c r="D25" s="30">
        <v>13</v>
      </c>
      <c r="E25" s="30"/>
      <c r="F25" s="30">
        <f t="shared" si="0"/>
        <v>27</v>
      </c>
      <c r="G25" s="33"/>
      <c r="H25" s="96">
        <v>7</v>
      </c>
      <c r="I25" s="96" t="s">
        <v>438</v>
      </c>
      <c r="J25" s="97"/>
      <c r="K25" s="97"/>
      <c r="L25" s="97"/>
      <c r="M25" s="103"/>
      <c r="N25" s="96">
        <v>2</v>
      </c>
      <c r="O25" s="96" t="s">
        <v>225</v>
      </c>
      <c r="P25" s="115"/>
      <c r="Q25" s="17"/>
      <c r="R25" s="17"/>
    </row>
    <row r="26" spans="1:18" ht="17.25" customHeight="1" thickBot="1" x14ac:dyDescent="0.35">
      <c r="A26" s="35">
        <v>14</v>
      </c>
      <c r="B26" s="3" t="s">
        <v>13</v>
      </c>
      <c r="C26" s="30">
        <v>6</v>
      </c>
      <c r="D26" s="30">
        <v>3</v>
      </c>
      <c r="E26" s="30"/>
      <c r="F26" s="30">
        <f t="shared" si="0"/>
        <v>9</v>
      </c>
      <c r="G26" s="33"/>
      <c r="H26" s="153" t="s">
        <v>420</v>
      </c>
      <c r="I26" s="154"/>
      <c r="J26" s="96">
        <f>SUM(J20:J25)</f>
        <v>28</v>
      </c>
      <c r="K26" s="96">
        <f>SUM(K20:K25)</f>
        <v>26</v>
      </c>
      <c r="L26" s="96">
        <f>SUM(L20:L25)</f>
        <v>2</v>
      </c>
      <c r="M26" s="103"/>
      <c r="N26" s="96">
        <v>3</v>
      </c>
      <c r="O26" s="96" t="s">
        <v>178</v>
      </c>
      <c r="P26" s="35">
        <v>15</v>
      </c>
      <c r="Q26" s="3">
        <v>4</v>
      </c>
      <c r="R26" s="3">
        <v>19</v>
      </c>
    </row>
    <row r="27" spans="1:18" ht="17.25" customHeight="1" thickBot="1" x14ac:dyDescent="0.35">
      <c r="A27" s="35">
        <v>15</v>
      </c>
      <c r="B27" s="3" t="s">
        <v>153</v>
      </c>
      <c r="C27" s="30" t="s">
        <v>643</v>
      </c>
      <c r="D27" s="138" t="s">
        <v>643</v>
      </c>
      <c r="E27" s="36"/>
      <c r="F27" s="30">
        <f t="shared" si="0"/>
        <v>0</v>
      </c>
      <c r="G27" s="28"/>
      <c r="H27" s="99"/>
      <c r="I27" s="99"/>
      <c r="J27" s="99"/>
      <c r="K27" s="99"/>
      <c r="L27" s="99"/>
      <c r="M27" s="103"/>
      <c r="N27" s="96">
        <v>4</v>
      </c>
      <c r="O27" s="96" t="s">
        <v>421</v>
      </c>
      <c r="P27" s="115"/>
      <c r="Q27" s="17"/>
      <c r="R27" s="17"/>
    </row>
    <row r="28" spans="1:18" ht="16.2" thickBot="1" x14ac:dyDescent="0.35">
      <c r="A28" s="35">
        <v>16</v>
      </c>
      <c r="B28" s="3" t="s">
        <v>439</v>
      </c>
      <c r="C28" s="138" t="s">
        <v>643</v>
      </c>
      <c r="D28" s="138" t="s">
        <v>643</v>
      </c>
      <c r="E28" s="36"/>
      <c r="F28" s="30">
        <f t="shared" si="0"/>
        <v>0</v>
      </c>
      <c r="G28" s="28"/>
      <c r="H28" s="195" t="s">
        <v>440</v>
      </c>
      <c r="I28" s="196"/>
      <c r="J28" s="196"/>
      <c r="K28" s="196"/>
      <c r="L28" s="197"/>
      <c r="M28" s="103"/>
      <c r="N28" s="96">
        <v>5</v>
      </c>
      <c r="O28" s="96" t="s">
        <v>423</v>
      </c>
      <c r="P28" s="115"/>
      <c r="Q28" s="17"/>
      <c r="R28" s="17"/>
    </row>
    <row r="29" spans="1:18" ht="16.2" thickBot="1" x14ac:dyDescent="0.35">
      <c r="A29" s="35">
        <v>17</v>
      </c>
      <c r="B29" s="3" t="s">
        <v>441</v>
      </c>
      <c r="C29" s="36"/>
      <c r="D29" s="36"/>
      <c r="E29" s="36"/>
      <c r="F29" s="30">
        <f t="shared" si="0"/>
        <v>0</v>
      </c>
      <c r="G29" s="33"/>
      <c r="H29" s="95" t="s">
        <v>411</v>
      </c>
      <c r="I29" s="95" t="s">
        <v>431</v>
      </c>
      <c r="J29" s="95" t="s">
        <v>416</v>
      </c>
      <c r="K29" s="95" t="s">
        <v>417</v>
      </c>
      <c r="L29" s="95" t="s">
        <v>414</v>
      </c>
      <c r="M29" s="103"/>
      <c r="N29" s="96">
        <v>6</v>
      </c>
      <c r="O29" s="96" t="s">
        <v>164</v>
      </c>
      <c r="P29" s="115"/>
      <c r="Q29" s="17"/>
      <c r="R29" s="17"/>
    </row>
    <row r="30" spans="1:18" ht="16.2" thickBot="1" x14ac:dyDescent="0.35">
      <c r="A30" s="35">
        <v>18</v>
      </c>
      <c r="B30" s="3" t="s">
        <v>442</v>
      </c>
      <c r="C30" s="36"/>
      <c r="D30" s="36"/>
      <c r="E30" s="36"/>
      <c r="F30" s="30">
        <f t="shared" si="0"/>
        <v>0</v>
      </c>
      <c r="G30" s="33"/>
      <c r="H30" s="96">
        <v>1</v>
      </c>
      <c r="I30" s="96" t="s">
        <v>435</v>
      </c>
      <c r="J30" s="97"/>
      <c r="K30" s="97"/>
      <c r="L30" s="97"/>
      <c r="M30" s="103"/>
      <c r="N30" s="96">
        <v>7</v>
      </c>
      <c r="O30" s="96" t="s">
        <v>14</v>
      </c>
      <c r="P30" s="35">
        <v>6</v>
      </c>
      <c r="Q30" s="3">
        <v>2</v>
      </c>
      <c r="R30" s="3">
        <v>8</v>
      </c>
    </row>
    <row r="31" spans="1:18" ht="16.2" thickBot="1" x14ac:dyDescent="0.35">
      <c r="A31" s="35">
        <v>19</v>
      </c>
      <c r="B31" s="3" t="s">
        <v>443</v>
      </c>
      <c r="C31" s="36"/>
      <c r="D31" s="36"/>
      <c r="E31" s="36"/>
      <c r="F31" s="30">
        <f t="shared" si="0"/>
        <v>0</v>
      </c>
      <c r="G31" s="33"/>
      <c r="H31" s="96">
        <v>2</v>
      </c>
      <c r="I31" s="96" t="s">
        <v>15</v>
      </c>
      <c r="J31" s="96">
        <v>1</v>
      </c>
      <c r="K31" s="97"/>
      <c r="L31" s="96">
        <v>1</v>
      </c>
      <c r="M31" s="103"/>
      <c r="N31" s="96">
        <v>8</v>
      </c>
      <c r="O31" s="96" t="s">
        <v>18</v>
      </c>
      <c r="P31" s="115"/>
      <c r="Q31" s="17"/>
      <c r="R31" s="17"/>
    </row>
    <row r="32" spans="1:18" ht="16.2" thickBot="1" x14ac:dyDescent="0.35">
      <c r="A32" s="35">
        <v>20</v>
      </c>
      <c r="B32" s="3" t="s">
        <v>255</v>
      </c>
      <c r="C32" s="30">
        <v>6</v>
      </c>
      <c r="D32" s="30">
        <v>9</v>
      </c>
      <c r="E32" s="30"/>
      <c r="F32" s="30">
        <f t="shared" si="0"/>
        <v>15</v>
      </c>
      <c r="G32" s="33"/>
      <c r="H32" s="96">
        <v>3</v>
      </c>
      <c r="I32" s="96" t="s">
        <v>436</v>
      </c>
      <c r="J32" s="97"/>
      <c r="K32" s="97"/>
      <c r="L32" s="97"/>
      <c r="M32" s="103"/>
      <c r="N32" s="96">
        <v>9</v>
      </c>
      <c r="O32" s="96" t="s">
        <v>427</v>
      </c>
      <c r="P32" s="115"/>
      <c r="Q32" s="17"/>
      <c r="R32" s="17"/>
    </row>
    <row r="33" spans="1:18" ht="16.2" thickBot="1" x14ac:dyDescent="0.35">
      <c r="A33" s="35">
        <v>21</v>
      </c>
      <c r="B33" s="3" t="s">
        <v>444</v>
      </c>
      <c r="C33" s="36"/>
      <c r="D33" s="36"/>
      <c r="E33" s="36"/>
      <c r="F33" s="30">
        <f t="shared" si="0"/>
        <v>0</v>
      </c>
      <c r="G33" s="33"/>
      <c r="H33" s="96">
        <v>4</v>
      </c>
      <c r="I33" s="96" t="s">
        <v>19</v>
      </c>
      <c r="J33" s="96">
        <v>4</v>
      </c>
      <c r="K33" s="96">
        <v>1</v>
      </c>
      <c r="L33" s="96">
        <f>SUM(J33:K33)</f>
        <v>5</v>
      </c>
      <c r="M33" s="103"/>
      <c r="N33" s="153" t="s">
        <v>420</v>
      </c>
      <c r="O33" s="154"/>
      <c r="P33" s="35">
        <v>21</v>
      </c>
      <c r="Q33" s="3">
        <v>6</v>
      </c>
      <c r="R33" s="3">
        <v>27</v>
      </c>
    </row>
    <row r="34" spans="1:18" ht="16.2" thickBot="1" x14ac:dyDescent="0.35">
      <c r="A34" s="35">
        <v>22</v>
      </c>
      <c r="B34" s="3" t="s">
        <v>88</v>
      </c>
      <c r="C34" s="30">
        <v>40</v>
      </c>
      <c r="D34" s="30">
        <v>72</v>
      </c>
      <c r="E34" s="30"/>
      <c r="F34" s="30">
        <f t="shared" si="0"/>
        <v>112</v>
      </c>
      <c r="G34" s="33"/>
      <c r="H34" s="96">
        <v>5</v>
      </c>
      <c r="I34" s="96" t="s">
        <v>64</v>
      </c>
      <c r="J34" s="96">
        <v>1</v>
      </c>
      <c r="K34" s="96">
        <v>1</v>
      </c>
      <c r="L34" s="96">
        <f t="shared" ref="L34:L35" si="1">SUM(J34:K34)</f>
        <v>2</v>
      </c>
      <c r="M34" s="99"/>
      <c r="N34" s="99"/>
      <c r="O34" s="99"/>
      <c r="P34" s="99"/>
      <c r="Q34" s="100"/>
      <c r="R34" s="100"/>
    </row>
    <row r="35" spans="1:18" ht="16.2" thickBot="1" x14ac:dyDescent="0.35">
      <c r="A35" s="35">
        <v>23</v>
      </c>
      <c r="B35" s="3" t="s">
        <v>445</v>
      </c>
      <c r="C35" s="36"/>
      <c r="D35" s="36"/>
      <c r="E35" s="36"/>
      <c r="F35" s="36"/>
      <c r="G35" s="33"/>
      <c r="H35" s="96">
        <v>6</v>
      </c>
      <c r="I35" s="96" t="s">
        <v>24</v>
      </c>
      <c r="J35" s="96">
        <v>10</v>
      </c>
      <c r="K35" s="96">
        <v>8</v>
      </c>
      <c r="L35" s="96">
        <f t="shared" si="1"/>
        <v>18</v>
      </c>
      <c r="M35" s="99"/>
      <c r="N35" s="99"/>
      <c r="O35" s="99"/>
      <c r="P35" s="99"/>
      <c r="Q35" s="100"/>
      <c r="R35" s="100"/>
    </row>
    <row r="36" spans="1:18" ht="16.2" thickBot="1" x14ac:dyDescent="0.35">
      <c r="A36" s="155" t="s">
        <v>420</v>
      </c>
      <c r="B36" s="157"/>
      <c r="C36" s="30">
        <f>SUM(C17:C35)</f>
        <v>117</v>
      </c>
      <c r="D36" s="30">
        <f>SUM(D19:D35)</f>
        <v>125</v>
      </c>
      <c r="E36" s="30"/>
      <c r="F36" s="30">
        <f>SUM(C36:D36)</f>
        <v>242</v>
      </c>
      <c r="G36" s="33"/>
      <c r="H36" s="96">
        <v>7</v>
      </c>
      <c r="I36" s="96" t="s">
        <v>438</v>
      </c>
      <c r="J36" s="97"/>
      <c r="K36" s="97"/>
      <c r="L36" s="97"/>
      <c r="M36" s="99"/>
      <c r="N36" s="99"/>
      <c r="O36" s="99"/>
      <c r="P36" s="99"/>
      <c r="Q36" s="100"/>
      <c r="R36" s="100"/>
    </row>
    <row r="37" spans="1:18" ht="16.2" thickBot="1" x14ac:dyDescent="0.35">
      <c r="A37" s="28"/>
      <c r="B37" s="28"/>
      <c r="C37" s="28"/>
      <c r="D37" s="28"/>
      <c r="E37" s="28"/>
      <c r="F37" s="28"/>
      <c r="G37" s="33"/>
      <c r="H37" s="153" t="s">
        <v>420</v>
      </c>
      <c r="I37" s="154"/>
      <c r="J37" s="96">
        <f>SUM(J31:J36)</f>
        <v>16</v>
      </c>
      <c r="K37" s="96">
        <f>SUM(K33:K36)</f>
        <v>10</v>
      </c>
      <c r="L37" s="96">
        <f>SUM(L31:L36)</f>
        <v>26</v>
      </c>
      <c r="M37" s="99"/>
      <c r="N37" s="99"/>
      <c r="O37" s="99"/>
      <c r="P37" s="99"/>
      <c r="Q37" s="100"/>
      <c r="R37" s="100"/>
    </row>
    <row r="38" spans="1:18" ht="15" thickBot="1" x14ac:dyDescent="0.35">
      <c r="A38" s="28"/>
      <c r="B38" s="28"/>
      <c r="C38" s="28"/>
      <c r="D38" s="28"/>
      <c r="E38" s="28"/>
      <c r="F38" s="28"/>
      <c r="G38" s="28"/>
      <c r="H38" s="99"/>
      <c r="I38" s="99"/>
      <c r="J38" s="99"/>
      <c r="K38" s="99"/>
      <c r="L38" s="99"/>
      <c r="M38" s="99"/>
      <c r="N38" s="99"/>
      <c r="O38" s="99"/>
      <c r="P38" s="99"/>
      <c r="Q38" s="100"/>
      <c r="R38" s="100"/>
    </row>
    <row r="39" spans="1:18" ht="16.2" thickBot="1" x14ac:dyDescent="0.35">
      <c r="A39" s="183" t="s">
        <v>446</v>
      </c>
      <c r="B39" s="184"/>
      <c r="C39" s="184"/>
      <c r="D39" s="184"/>
      <c r="E39" s="109"/>
      <c r="F39" s="28"/>
      <c r="G39" s="28"/>
      <c r="H39" s="185" t="s">
        <v>768</v>
      </c>
      <c r="I39" s="186"/>
      <c r="J39" s="186"/>
      <c r="K39" s="187"/>
      <c r="L39" s="60"/>
      <c r="M39" s="60"/>
      <c r="N39" s="56"/>
      <c r="O39" s="56"/>
      <c r="P39" s="56"/>
    </row>
    <row r="40" spans="1:18" ht="16.2" thickBot="1" x14ac:dyDescent="0.35">
      <c r="A40" s="188" t="s">
        <v>411</v>
      </c>
      <c r="B40" s="188" t="s">
        <v>447</v>
      </c>
      <c r="C40" s="190" t="s">
        <v>413</v>
      </c>
      <c r="D40" s="191"/>
      <c r="E40" s="94"/>
      <c r="F40" s="188" t="s">
        <v>414</v>
      </c>
      <c r="G40" s="33"/>
      <c r="H40" s="168" t="s">
        <v>411</v>
      </c>
      <c r="I40" s="168" t="s">
        <v>415</v>
      </c>
      <c r="J40" s="192" t="s">
        <v>448</v>
      </c>
      <c r="K40" s="193"/>
      <c r="L40" s="193"/>
      <c r="M40" s="194"/>
      <c r="N40" s="56"/>
      <c r="O40" s="56"/>
      <c r="P40" s="56"/>
    </row>
    <row r="41" spans="1:18" ht="21.75" customHeight="1" thickBot="1" x14ac:dyDescent="0.35">
      <c r="A41" s="189"/>
      <c r="B41" s="189"/>
      <c r="C41" s="34" t="s">
        <v>416</v>
      </c>
      <c r="D41" s="34" t="s">
        <v>417</v>
      </c>
      <c r="E41" s="108"/>
      <c r="F41" s="189"/>
      <c r="G41" s="33"/>
      <c r="H41" s="170"/>
      <c r="I41" s="170"/>
      <c r="J41" s="95" t="s">
        <v>442</v>
      </c>
      <c r="K41" s="95" t="s">
        <v>449</v>
      </c>
      <c r="L41" s="95" t="s">
        <v>443</v>
      </c>
      <c r="M41" s="95" t="s">
        <v>450</v>
      </c>
      <c r="N41" s="56"/>
      <c r="O41" s="56"/>
      <c r="P41" s="56"/>
    </row>
    <row r="42" spans="1:18" ht="18.75" customHeight="1" thickBot="1" x14ac:dyDescent="0.35">
      <c r="A42" s="35">
        <v>1</v>
      </c>
      <c r="B42" s="3" t="s">
        <v>451</v>
      </c>
      <c r="C42" s="3">
        <v>16</v>
      </c>
      <c r="D42" s="55">
        <v>10</v>
      </c>
      <c r="E42" s="110"/>
      <c r="F42" s="53">
        <f>SUM(C42:D42)</f>
        <v>26</v>
      </c>
      <c r="G42" s="33"/>
      <c r="H42" s="96">
        <v>1</v>
      </c>
      <c r="I42" s="96" t="s">
        <v>178</v>
      </c>
      <c r="J42" s="97"/>
      <c r="K42" s="97"/>
      <c r="L42" s="97"/>
      <c r="M42" s="97"/>
      <c r="N42" s="56"/>
      <c r="O42" s="56"/>
      <c r="P42" s="56"/>
    </row>
    <row r="43" spans="1:18" ht="16.2" thickBot="1" x14ac:dyDescent="0.35">
      <c r="A43" s="35">
        <v>2</v>
      </c>
      <c r="B43" s="3" t="s">
        <v>452</v>
      </c>
      <c r="C43" s="3">
        <v>21</v>
      </c>
      <c r="D43" s="55">
        <v>17</v>
      </c>
      <c r="E43" s="110"/>
      <c r="F43" s="53">
        <f>SUM(C43:D43)</f>
        <v>38</v>
      </c>
      <c r="G43" s="33"/>
      <c r="H43" s="96">
        <v>2</v>
      </c>
      <c r="I43" s="96" t="s">
        <v>453</v>
      </c>
      <c r="J43" s="97"/>
      <c r="K43" s="97"/>
      <c r="L43" s="97"/>
      <c r="M43" s="97"/>
      <c r="N43" s="56"/>
      <c r="O43" s="56"/>
      <c r="P43" s="56"/>
    </row>
    <row r="44" spans="1:18" ht="16.2" thickBot="1" x14ac:dyDescent="0.35">
      <c r="A44" s="35">
        <v>3</v>
      </c>
      <c r="B44" s="3" t="s">
        <v>454</v>
      </c>
      <c r="C44" s="3">
        <v>80</v>
      </c>
      <c r="D44" s="55">
        <v>98</v>
      </c>
      <c r="E44" s="110"/>
      <c r="F44" s="53">
        <f>SUM(C44:D44)</f>
        <v>178</v>
      </c>
      <c r="G44" s="33"/>
      <c r="H44" s="96">
        <v>3</v>
      </c>
      <c r="I44" s="96" t="s">
        <v>14</v>
      </c>
      <c r="J44" s="97"/>
      <c r="K44" s="96">
        <v>0</v>
      </c>
      <c r="L44" s="96">
        <v>1</v>
      </c>
      <c r="M44" s="96">
        <v>7</v>
      </c>
      <c r="N44" s="56"/>
      <c r="O44" s="56"/>
      <c r="P44" s="56"/>
    </row>
    <row r="45" spans="1:18" ht="16.2" thickBot="1" x14ac:dyDescent="0.35">
      <c r="A45" s="155" t="s">
        <v>420</v>
      </c>
      <c r="B45" s="157"/>
      <c r="C45" s="3">
        <f>SUM(C42:C44)</f>
        <v>117</v>
      </c>
      <c r="D45" s="55">
        <f>SUM(D42:D44)</f>
        <v>125</v>
      </c>
      <c r="E45" s="110"/>
      <c r="F45" s="53">
        <f>SUM(F42:F44)</f>
        <v>242</v>
      </c>
      <c r="G45" s="33"/>
      <c r="H45" s="96">
        <v>4</v>
      </c>
      <c r="I45" s="96" t="s">
        <v>18</v>
      </c>
      <c r="J45" s="97"/>
      <c r="K45" s="152">
        <v>1</v>
      </c>
      <c r="L45" s="96">
        <v>6</v>
      </c>
      <c r="M45" s="96">
        <v>11</v>
      </c>
      <c r="N45" s="56"/>
      <c r="O45" s="56"/>
      <c r="P45" s="56"/>
    </row>
    <row r="46" spans="1:18" ht="16.2" thickBot="1" x14ac:dyDescent="0.35">
      <c r="A46" s="28"/>
      <c r="B46" s="28"/>
      <c r="C46" s="28"/>
      <c r="D46" s="54"/>
      <c r="E46" s="54"/>
      <c r="F46" s="28"/>
      <c r="G46" s="33"/>
      <c r="H46" s="96">
        <v>5</v>
      </c>
      <c r="I46" s="96" t="s">
        <v>427</v>
      </c>
      <c r="J46" s="97"/>
      <c r="K46" s="97"/>
      <c r="L46" s="97"/>
      <c r="M46" s="97"/>
      <c r="N46" s="56"/>
      <c r="O46" s="56"/>
      <c r="P46" s="56"/>
    </row>
    <row r="47" spans="1:18" ht="16.2" thickBot="1" x14ac:dyDescent="0.35">
      <c r="A47" s="28"/>
      <c r="B47" s="28"/>
      <c r="C47" s="28"/>
      <c r="D47" s="28"/>
      <c r="E47" s="28"/>
      <c r="F47" s="28"/>
      <c r="G47" s="33"/>
      <c r="H47" s="153" t="s">
        <v>420</v>
      </c>
      <c r="I47" s="154"/>
      <c r="J47" s="96">
        <f>SUM(J44:J46)</f>
        <v>0</v>
      </c>
      <c r="K47" s="96">
        <f>SUM(K44:K46)</f>
        <v>1</v>
      </c>
      <c r="L47" s="96">
        <f>SUM(L44:L46)</f>
        <v>7</v>
      </c>
      <c r="M47" s="96">
        <f>SUM(M44:M46)</f>
        <v>18</v>
      </c>
      <c r="N47" s="56"/>
      <c r="O47" s="56"/>
      <c r="P47" s="56"/>
    </row>
    <row r="48" spans="1:18" ht="15" thickBot="1" x14ac:dyDescent="0.35">
      <c r="A48" s="28"/>
      <c r="B48" s="28"/>
      <c r="C48" s="28"/>
      <c r="D48" s="28"/>
      <c r="E48" s="28"/>
      <c r="F48" s="28"/>
      <c r="G48" s="28"/>
      <c r="H48" s="56"/>
      <c r="I48" s="56"/>
      <c r="J48" s="56"/>
      <c r="K48" s="56"/>
      <c r="L48" s="56"/>
      <c r="M48" s="56"/>
      <c r="N48" s="56"/>
      <c r="O48" s="56"/>
      <c r="P48" s="56"/>
    </row>
    <row r="49" spans="1:16" ht="16.2" thickBot="1" x14ac:dyDescent="0.35">
      <c r="A49" s="195" t="s">
        <v>455</v>
      </c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7"/>
      <c r="N49" s="56"/>
      <c r="O49" s="56"/>
      <c r="P49" s="56"/>
    </row>
    <row r="50" spans="1:16" ht="15.6" thickBot="1" x14ac:dyDescent="0.35">
      <c r="A50" s="168" t="s">
        <v>411</v>
      </c>
      <c r="B50" s="171" t="s">
        <v>456</v>
      </c>
      <c r="C50" s="172"/>
      <c r="D50" s="173"/>
      <c r="E50" s="104"/>
      <c r="F50" s="172"/>
      <c r="G50" s="180"/>
      <c r="H50" s="180"/>
      <c r="I50" s="180"/>
      <c r="J50" s="181"/>
      <c r="K50" s="171" t="s">
        <v>457</v>
      </c>
      <c r="L50" s="172"/>
      <c r="M50" s="173"/>
      <c r="N50" s="56"/>
      <c r="O50" s="56"/>
      <c r="P50" s="56"/>
    </row>
    <row r="51" spans="1:16" ht="44.25" customHeight="1" thickBot="1" x14ac:dyDescent="0.35">
      <c r="A51" s="169"/>
      <c r="B51" s="174"/>
      <c r="C51" s="175"/>
      <c r="D51" s="176"/>
      <c r="E51" s="182" t="s">
        <v>644</v>
      </c>
      <c r="F51" s="181"/>
      <c r="G51" s="168" t="s">
        <v>458</v>
      </c>
      <c r="H51" s="182" t="s">
        <v>459</v>
      </c>
      <c r="I51" s="181"/>
      <c r="J51" s="168" t="s">
        <v>460</v>
      </c>
      <c r="K51" s="174"/>
      <c r="L51" s="175"/>
      <c r="M51" s="176"/>
      <c r="N51" s="56"/>
      <c r="O51" s="56"/>
      <c r="P51" s="56"/>
    </row>
    <row r="52" spans="1:16" ht="15.6" thickBot="1" x14ac:dyDescent="0.35">
      <c r="A52" s="170"/>
      <c r="B52" s="177"/>
      <c r="C52" s="178"/>
      <c r="D52" s="179"/>
      <c r="E52" s="139" t="s">
        <v>12</v>
      </c>
      <c r="F52" s="140" t="s">
        <v>35</v>
      </c>
      <c r="G52" s="170"/>
      <c r="H52" s="105" t="s">
        <v>12</v>
      </c>
      <c r="I52" s="105" t="s">
        <v>35</v>
      </c>
      <c r="J52" s="170"/>
      <c r="K52" s="177"/>
      <c r="L52" s="178"/>
      <c r="M52" s="179"/>
      <c r="N52" s="56"/>
      <c r="O52" s="56"/>
      <c r="P52" s="56"/>
    </row>
    <row r="53" spans="1:16" ht="16.2" thickBot="1" x14ac:dyDescent="0.35">
      <c r="A53" s="106">
        <v>1</v>
      </c>
      <c r="B53" s="165" t="s">
        <v>90</v>
      </c>
      <c r="C53" s="166"/>
      <c r="D53" s="167"/>
      <c r="E53" s="111">
        <v>1</v>
      </c>
      <c r="F53" s="96">
        <v>0</v>
      </c>
      <c r="G53" s="96">
        <f t="shared" ref="G53:G54" si="2">SUM(E53:F53)</f>
        <v>1</v>
      </c>
      <c r="H53" s="96">
        <v>0</v>
      </c>
      <c r="I53" s="96">
        <v>0</v>
      </c>
      <c r="J53" s="96">
        <v>0</v>
      </c>
      <c r="K53" s="153">
        <v>1</v>
      </c>
      <c r="L53" s="158"/>
      <c r="M53" s="154"/>
      <c r="N53" s="56"/>
      <c r="O53" s="56"/>
      <c r="P53" s="56"/>
    </row>
    <row r="54" spans="1:16" ht="16.2" thickBot="1" x14ac:dyDescent="0.35">
      <c r="A54" s="106">
        <v>2</v>
      </c>
      <c r="B54" s="165" t="s">
        <v>93</v>
      </c>
      <c r="C54" s="166"/>
      <c r="D54" s="167"/>
      <c r="E54" s="111">
        <v>0</v>
      </c>
      <c r="F54" s="96">
        <v>2</v>
      </c>
      <c r="G54" s="96">
        <f t="shared" si="2"/>
        <v>2</v>
      </c>
      <c r="H54" s="96">
        <v>0</v>
      </c>
      <c r="I54" s="96">
        <v>0</v>
      </c>
      <c r="J54" s="96">
        <v>0</v>
      </c>
      <c r="K54" s="153">
        <v>2</v>
      </c>
      <c r="L54" s="158"/>
      <c r="M54" s="154"/>
      <c r="N54" s="56"/>
      <c r="O54" s="56"/>
      <c r="P54" s="56"/>
    </row>
    <row r="55" spans="1:16" ht="16.2" thickBot="1" x14ac:dyDescent="0.35">
      <c r="A55" s="106">
        <v>3</v>
      </c>
      <c r="B55" s="165" t="s">
        <v>97</v>
      </c>
      <c r="C55" s="166"/>
      <c r="D55" s="167"/>
      <c r="E55" s="111">
        <v>2</v>
      </c>
      <c r="F55" s="96">
        <v>3</v>
      </c>
      <c r="G55" s="96">
        <f>SUM(E55:F55)</f>
        <v>5</v>
      </c>
      <c r="H55" s="96">
        <v>0</v>
      </c>
      <c r="I55" s="96">
        <v>0</v>
      </c>
      <c r="J55" s="96">
        <v>0</v>
      </c>
      <c r="K55" s="153">
        <v>5</v>
      </c>
      <c r="L55" s="158"/>
      <c r="M55" s="154"/>
      <c r="N55" s="56"/>
      <c r="O55" s="56"/>
      <c r="P55" s="56"/>
    </row>
    <row r="56" spans="1:16" ht="16.2" thickBot="1" x14ac:dyDescent="0.35">
      <c r="A56" s="106">
        <v>4</v>
      </c>
      <c r="B56" s="165" t="s">
        <v>103</v>
      </c>
      <c r="C56" s="166"/>
      <c r="D56" s="167"/>
      <c r="E56" s="111">
        <v>1</v>
      </c>
      <c r="F56" s="96">
        <v>2</v>
      </c>
      <c r="G56" s="96">
        <f t="shared" ref="G56:G59" si="3">SUM(E56:F56)</f>
        <v>3</v>
      </c>
      <c r="H56" s="96">
        <v>0</v>
      </c>
      <c r="I56" s="96">
        <v>0</v>
      </c>
      <c r="J56" s="96">
        <v>0</v>
      </c>
      <c r="K56" s="153">
        <v>3</v>
      </c>
      <c r="L56" s="158"/>
      <c r="M56" s="154"/>
      <c r="N56" s="56"/>
      <c r="O56" s="56"/>
      <c r="P56" s="56"/>
    </row>
    <row r="57" spans="1:16" ht="16.2" thickBot="1" x14ac:dyDescent="0.35">
      <c r="A57" s="106">
        <v>5</v>
      </c>
      <c r="B57" s="165" t="s">
        <v>111</v>
      </c>
      <c r="C57" s="166"/>
      <c r="D57" s="167"/>
      <c r="E57" s="111">
        <v>3</v>
      </c>
      <c r="F57" s="96">
        <v>0</v>
      </c>
      <c r="G57" s="96">
        <f t="shared" si="3"/>
        <v>3</v>
      </c>
      <c r="H57" s="96">
        <v>0</v>
      </c>
      <c r="I57" s="96">
        <v>0</v>
      </c>
      <c r="J57" s="96">
        <v>0</v>
      </c>
      <c r="K57" s="153">
        <v>3</v>
      </c>
      <c r="L57" s="158"/>
      <c r="M57" s="154"/>
      <c r="N57" s="56"/>
      <c r="O57" s="56"/>
      <c r="P57" s="56"/>
    </row>
    <row r="58" spans="1:16" ht="16.2" thickBot="1" x14ac:dyDescent="0.35">
      <c r="A58" s="106">
        <v>6</v>
      </c>
      <c r="B58" s="165" t="s">
        <v>118</v>
      </c>
      <c r="C58" s="166"/>
      <c r="D58" s="167"/>
      <c r="E58" s="111">
        <v>14</v>
      </c>
      <c r="F58" s="96">
        <v>9</v>
      </c>
      <c r="G58" s="96">
        <f t="shared" si="3"/>
        <v>23</v>
      </c>
      <c r="H58" s="96">
        <v>0</v>
      </c>
      <c r="I58" s="96">
        <v>0</v>
      </c>
      <c r="J58" s="96">
        <v>0</v>
      </c>
      <c r="K58" s="153">
        <v>23</v>
      </c>
      <c r="L58" s="158"/>
      <c r="M58" s="154"/>
      <c r="N58" s="56"/>
      <c r="O58" s="56"/>
      <c r="P58" s="56"/>
    </row>
    <row r="59" spans="1:16" ht="16.2" thickBot="1" x14ac:dyDescent="0.35">
      <c r="A59" s="106">
        <v>7</v>
      </c>
      <c r="B59" s="165" t="s">
        <v>155</v>
      </c>
      <c r="C59" s="166"/>
      <c r="D59" s="167"/>
      <c r="E59" s="111">
        <v>0</v>
      </c>
      <c r="F59" s="96">
        <v>1</v>
      </c>
      <c r="G59" s="96">
        <f t="shared" si="3"/>
        <v>1</v>
      </c>
      <c r="H59" s="96">
        <v>0</v>
      </c>
      <c r="I59" s="96">
        <v>0</v>
      </c>
      <c r="J59" s="96">
        <v>0</v>
      </c>
      <c r="K59" s="153">
        <v>1</v>
      </c>
      <c r="L59" s="158"/>
      <c r="M59" s="154"/>
      <c r="N59" s="56"/>
      <c r="O59" s="56"/>
      <c r="P59" s="56"/>
    </row>
    <row r="60" spans="1:16" ht="15.6" thickBot="1" x14ac:dyDescent="0.35">
      <c r="A60" s="37">
        <v>8</v>
      </c>
      <c r="B60" s="159"/>
      <c r="C60" s="160"/>
      <c r="D60" s="161"/>
      <c r="E60" s="112"/>
      <c r="F60" s="17"/>
      <c r="G60" s="17"/>
      <c r="H60" s="59"/>
      <c r="I60" s="59"/>
      <c r="J60" s="59"/>
      <c r="K60" s="162"/>
      <c r="L60" s="163"/>
      <c r="M60" s="164"/>
      <c r="N60" s="56"/>
      <c r="O60" s="56"/>
      <c r="P60" s="56"/>
    </row>
    <row r="61" spans="1:16" ht="15.6" thickBot="1" x14ac:dyDescent="0.35">
      <c r="A61" s="37">
        <v>9</v>
      </c>
      <c r="B61" s="159"/>
      <c r="C61" s="160"/>
      <c r="D61" s="161"/>
      <c r="E61" s="112"/>
      <c r="F61" s="17"/>
      <c r="G61" s="17"/>
      <c r="H61" s="59"/>
      <c r="I61" s="59"/>
      <c r="J61" s="59"/>
      <c r="K61" s="162"/>
      <c r="L61" s="163"/>
      <c r="M61" s="164"/>
      <c r="N61" s="56"/>
      <c r="O61" s="56"/>
      <c r="P61" s="56"/>
    </row>
    <row r="62" spans="1:16" ht="15.6" thickBot="1" x14ac:dyDescent="0.35">
      <c r="A62" s="37">
        <v>10</v>
      </c>
      <c r="B62" s="159"/>
      <c r="C62" s="160"/>
      <c r="D62" s="161"/>
      <c r="E62" s="112"/>
      <c r="F62" s="17"/>
      <c r="G62" s="17"/>
      <c r="H62" s="59"/>
      <c r="I62" s="59"/>
      <c r="J62" s="59"/>
      <c r="K62" s="162"/>
      <c r="L62" s="163"/>
      <c r="M62" s="164"/>
      <c r="N62" s="56"/>
      <c r="O62" s="56"/>
      <c r="P62" s="56"/>
    </row>
    <row r="63" spans="1:16" ht="15.6" thickBot="1" x14ac:dyDescent="0.35">
      <c r="A63" s="37">
        <v>11</v>
      </c>
      <c r="B63" s="159"/>
      <c r="C63" s="160"/>
      <c r="D63" s="161"/>
      <c r="E63" s="112"/>
      <c r="F63" s="17"/>
      <c r="G63" s="17"/>
      <c r="H63" s="59"/>
      <c r="I63" s="59"/>
      <c r="J63" s="59"/>
      <c r="K63" s="162"/>
      <c r="L63" s="163"/>
      <c r="M63" s="164"/>
      <c r="N63" s="56"/>
      <c r="O63" s="56"/>
      <c r="P63" s="56"/>
    </row>
    <row r="64" spans="1:16" ht="15.6" thickBot="1" x14ac:dyDescent="0.35">
      <c r="A64" s="37">
        <v>12</v>
      </c>
      <c r="B64" s="159"/>
      <c r="C64" s="160"/>
      <c r="D64" s="161"/>
      <c r="E64" s="112"/>
      <c r="F64" s="17"/>
      <c r="G64" s="17"/>
      <c r="H64" s="59"/>
      <c r="I64" s="59"/>
      <c r="J64" s="59"/>
      <c r="K64" s="162"/>
      <c r="L64" s="163"/>
      <c r="M64" s="164"/>
      <c r="N64" s="56"/>
      <c r="O64" s="56"/>
      <c r="P64" s="56"/>
    </row>
    <row r="65" spans="1:16" ht="15.6" thickBot="1" x14ac:dyDescent="0.35">
      <c r="A65" s="37">
        <v>13</v>
      </c>
      <c r="B65" s="159"/>
      <c r="C65" s="160"/>
      <c r="D65" s="161"/>
      <c r="E65" s="112"/>
      <c r="F65" s="17"/>
      <c r="G65" s="17"/>
      <c r="H65" s="59"/>
      <c r="I65" s="59"/>
      <c r="J65" s="59"/>
      <c r="K65" s="162"/>
      <c r="L65" s="163"/>
      <c r="M65" s="164"/>
      <c r="N65" s="56"/>
      <c r="O65" s="56"/>
      <c r="P65" s="56"/>
    </row>
    <row r="66" spans="1:16" ht="15.6" thickBot="1" x14ac:dyDescent="0.35">
      <c r="A66" s="37">
        <v>14</v>
      </c>
      <c r="B66" s="159"/>
      <c r="C66" s="160"/>
      <c r="D66" s="161"/>
      <c r="E66" s="112"/>
      <c r="F66" s="17"/>
      <c r="G66" s="17"/>
      <c r="H66" s="59"/>
      <c r="I66" s="59"/>
      <c r="J66" s="59"/>
      <c r="K66" s="162"/>
      <c r="L66" s="163"/>
      <c r="M66" s="164"/>
      <c r="N66" s="56"/>
      <c r="O66" s="56"/>
      <c r="P66" s="56"/>
    </row>
    <row r="67" spans="1:16" ht="15.6" thickBot="1" x14ac:dyDescent="0.35">
      <c r="A67" s="37">
        <v>15</v>
      </c>
      <c r="B67" s="159"/>
      <c r="C67" s="160"/>
      <c r="D67" s="161"/>
      <c r="E67" s="112"/>
      <c r="F67" s="17"/>
      <c r="G67" s="17"/>
      <c r="H67" s="59"/>
      <c r="I67" s="59"/>
      <c r="J67" s="59"/>
      <c r="K67" s="162"/>
      <c r="L67" s="163"/>
      <c r="M67" s="164"/>
      <c r="N67" s="56"/>
      <c r="O67" s="56"/>
      <c r="P67" s="56"/>
    </row>
    <row r="68" spans="1:16" ht="15.6" thickBot="1" x14ac:dyDescent="0.35">
      <c r="A68" s="37">
        <v>16</v>
      </c>
      <c r="B68" s="159"/>
      <c r="C68" s="160"/>
      <c r="D68" s="161"/>
      <c r="E68" s="112"/>
      <c r="F68" s="17"/>
      <c r="G68" s="17"/>
      <c r="H68" s="59"/>
      <c r="I68" s="59"/>
      <c r="J68" s="59"/>
      <c r="K68" s="162"/>
      <c r="L68" s="163"/>
      <c r="M68" s="164"/>
      <c r="N68" s="56"/>
      <c r="O68" s="56"/>
      <c r="P68" s="56"/>
    </row>
    <row r="69" spans="1:16" ht="15.6" thickBot="1" x14ac:dyDescent="0.35">
      <c r="A69" s="37">
        <v>17</v>
      </c>
      <c r="B69" s="159"/>
      <c r="C69" s="160"/>
      <c r="D69" s="161"/>
      <c r="E69" s="112"/>
      <c r="F69" s="17"/>
      <c r="G69" s="17"/>
      <c r="H69" s="59"/>
      <c r="I69" s="59"/>
      <c r="J69" s="59"/>
      <c r="K69" s="162"/>
      <c r="L69" s="163"/>
      <c r="M69" s="164"/>
      <c r="N69" s="56"/>
      <c r="O69" s="56"/>
      <c r="P69" s="56"/>
    </row>
    <row r="70" spans="1:16" ht="15.6" thickBot="1" x14ac:dyDescent="0.35">
      <c r="A70" s="37">
        <v>18</v>
      </c>
      <c r="B70" s="159"/>
      <c r="C70" s="160"/>
      <c r="D70" s="161"/>
      <c r="E70" s="112"/>
      <c r="F70" s="17"/>
      <c r="G70" s="17"/>
      <c r="H70" s="59"/>
      <c r="I70" s="59"/>
      <c r="J70" s="59"/>
      <c r="K70" s="162"/>
      <c r="L70" s="163"/>
      <c r="M70" s="164"/>
      <c r="N70" s="56"/>
      <c r="O70" s="56"/>
      <c r="P70" s="56"/>
    </row>
    <row r="71" spans="1:16" ht="15.6" thickBot="1" x14ac:dyDescent="0.35">
      <c r="A71" s="37">
        <v>19</v>
      </c>
      <c r="B71" s="159"/>
      <c r="C71" s="160"/>
      <c r="D71" s="161"/>
      <c r="E71" s="112"/>
      <c r="F71" s="17"/>
      <c r="G71" s="17"/>
      <c r="H71" s="59"/>
      <c r="I71" s="59"/>
      <c r="J71" s="59"/>
      <c r="K71" s="162"/>
      <c r="L71" s="163"/>
      <c r="M71" s="164"/>
      <c r="N71" s="56"/>
      <c r="O71" s="56"/>
      <c r="P71" s="56"/>
    </row>
    <row r="72" spans="1:16" ht="15.6" thickBot="1" x14ac:dyDescent="0.35">
      <c r="A72" s="37">
        <v>20</v>
      </c>
      <c r="B72" s="159"/>
      <c r="C72" s="160"/>
      <c r="D72" s="161"/>
      <c r="E72" s="112"/>
      <c r="F72" s="17"/>
      <c r="G72" s="17"/>
      <c r="H72" s="59"/>
      <c r="I72" s="59"/>
      <c r="J72" s="59"/>
      <c r="K72" s="162"/>
      <c r="L72" s="163"/>
      <c r="M72" s="164"/>
      <c r="N72" s="56"/>
      <c r="O72" s="56"/>
      <c r="P72" s="56"/>
    </row>
    <row r="73" spans="1:16" ht="16.2" thickBot="1" x14ac:dyDescent="0.35">
      <c r="A73" s="155" t="s">
        <v>420</v>
      </c>
      <c r="B73" s="156"/>
      <c r="C73" s="156"/>
      <c r="D73" s="157"/>
      <c r="E73" s="3">
        <f>SUM(E53:E72)</f>
        <v>21</v>
      </c>
      <c r="F73" s="3">
        <f>SUM(F53:F72)</f>
        <v>17</v>
      </c>
      <c r="G73" s="3">
        <f>SUM(G53:G59)</f>
        <v>38</v>
      </c>
      <c r="H73" s="58">
        <v>0</v>
      </c>
      <c r="I73" s="58">
        <v>0</v>
      </c>
      <c r="J73" s="58">
        <v>0</v>
      </c>
      <c r="K73" s="153">
        <f>SUM(K53:M59)</f>
        <v>38</v>
      </c>
      <c r="L73" s="158"/>
      <c r="M73" s="154"/>
      <c r="N73" s="56"/>
      <c r="O73" s="56"/>
      <c r="P73" s="56"/>
    </row>
  </sheetData>
  <mergeCells count="86">
    <mergeCell ref="A3:F3"/>
    <mergeCell ref="H3:P3"/>
    <mergeCell ref="C4:D4"/>
    <mergeCell ref="H4:H5"/>
    <mergeCell ref="I4:I5"/>
    <mergeCell ref="J4:L4"/>
    <mergeCell ref="M4:O4"/>
    <mergeCell ref="P4:P5"/>
    <mergeCell ref="A4:A5"/>
    <mergeCell ref="B4:B5"/>
    <mergeCell ref="F4:F5"/>
    <mergeCell ref="A8:B8"/>
    <mergeCell ref="A10:F10"/>
    <mergeCell ref="A11:A12"/>
    <mergeCell ref="B11:B12"/>
    <mergeCell ref="C11:D11"/>
    <mergeCell ref="F11:F12"/>
    <mergeCell ref="H15:I15"/>
    <mergeCell ref="H17:L17"/>
    <mergeCell ref="H26:I26"/>
    <mergeCell ref="H28:L28"/>
    <mergeCell ref="A36:B36"/>
    <mergeCell ref="B53:D53"/>
    <mergeCell ref="K53:M53"/>
    <mergeCell ref="B54:D54"/>
    <mergeCell ref="H37:I37"/>
    <mergeCell ref="A39:D39"/>
    <mergeCell ref="H39:K39"/>
    <mergeCell ref="A40:A41"/>
    <mergeCell ref="B40:B41"/>
    <mergeCell ref="C40:D40"/>
    <mergeCell ref="F40:F41"/>
    <mergeCell ref="H40:H41"/>
    <mergeCell ref="I40:I41"/>
    <mergeCell ref="J40:M40"/>
    <mergeCell ref="A45:B45"/>
    <mergeCell ref="H47:I47"/>
    <mergeCell ref="A49:M49"/>
    <mergeCell ref="A50:A52"/>
    <mergeCell ref="B50:D52"/>
    <mergeCell ref="F50:J50"/>
    <mergeCell ref="K50:M52"/>
    <mergeCell ref="G51:G52"/>
    <mergeCell ref="H51:I51"/>
    <mergeCell ref="J51:J52"/>
    <mergeCell ref="E51:F51"/>
    <mergeCell ref="K54:M54"/>
    <mergeCell ref="B56:D56"/>
    <mergeCell ref="K56:M56"/>
    <mergeCell ref="B57:D57"/>
    <mergeCell ref="K57:M57"/>
    <mergeCell ref="B55:D55"/>
    <mergeCell ref="K55:M55"/>
    <mergeCell ref="B58:D58"/>
    <mergeCell ref="K58:M58"/>
    <mergeCell ref="B59:D59"/>
    <mergeCell ref="K59:M59"/>
    <mergeCell ref="B60:D60"/>
    <mergeCell ref="K60:M60"/>
    <mergeCell ref="B61:D61"/>
    <mergeCell ref="K61:M61"/>
    <mergeCell ref="B62:D62"/>
    <mergeCell ref="K62:M62"/>
    <mergeCell ref="B63:D63"/>
    <mergeCell ref="K63:M63"/>
    <mergeCell ref="K64:M64"/>
    <mergeCell ref="B65:D65"/>
    <mergeCell ref="K65:M65"/>
    <mergeCell ref="B66:D66"/>
    <mergeCell ref="K66:M66"/>
    <mergeCell ref="N33:O33"/>
    <mergeCell ref="A73:D73"/>
    <mergeCell ref="K73:M73"/>
    <mergeCell ref="B70:D70"/>
    <mergeCell ref="K70:M70"/>
    <mergeCell ref="B71:D71"/>
    <mergeCell ref="K71:M71"/>
    <mergeCell ref="B72:D72"/>
    <mergeCell ref="K72:M72"/>
    <mergeCell ref="B67:D67"/>
    <mergeCell ref="K67:M67"/>
    <mergeCell ref="B68:D68"/>
    <mergeCell ref="K68:M68"/>
    <mergeCell ref="B69:D69"/>
    <mergeCell ref="K69:M69"/>
    <mergeCell ref="B64:D64"/>
  </mergeCells>
  <pageMargins left="0.39370078740157483" right="0.39370078740157483" top="0.35433070866141736" bottom="0.35433070866141736" header="0.31496062992125984" footer="0.31496062992125984"/>
  <pageSetup paperSize="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52EF-D6E0-4971-A4B5-633AF94D5917}">
  <dimension ref="A1:E42"/>
  <sheetViews>
    <sheetView workbookViewId="0">
      <selection activeCell="H22" sqref="H22"/>
    </sheetView>
  </sheetViews>
  <sheetFormatPr defaultRowHeight="14.4" x14ac:dyDescent="0.3"/>
  <cols>
    <col min="2" max="2" width="15.88671875" customWidth="1"/>
    <col min="3" max="3" width="17.44140625" customWidth="1"/>
    <col min="4" max="4" width="18.33203125" customWidth="1"/>
    <col min="5" max="5" width="16.33203125" customWidth="1"/>
  </cols>
  <sheetData>
    <row r="1" spans="1:5" ht="16.2" thickBot="1" x14ac:dyDescent="0.35">
      <c r="A1" s="208" t="s">
        <v>16</v>
      </c>
      <c r="B1" s="209"/>
      <c r="C1" s="209"/>
      <c r="D1" s="209"/>
      <c r="E1" s="210"/>
    </row>
    <row r="2" spans="1:5" ht="24.75" customHeight="1" thickBot="1" x14ac:dyDescent="0.35">
      <c r="A2" s="205" t="s">
        <v>770</v>
      </c>
      <c r="B2" s="206"/>
      <c r="C2" s="206"/>
      <c r="D2" s="206"/>
      <c r="E2" s="207"/>
    </row>
    <row r="3" spans="1:5" ht="16.2" thickBot="1" x14ac:dyDescent="0.35">
      <c r="A3" s="183" t="s">
        <v>409</v>
      </c>
      <c r="B3" s="184"/>
      <c r="C3" s="184"/>
      <c r="D3" s="184"/>
      <c r="E3" s="184"/>
    </row>
    <row r="4" spans="1:5" ht="16.2" thickBot="1" x14ac:dyDescent="0.35">
      <c r="A4" s="188" t="s">
        <v>411</v>
      </c>
      <c r="B4" s="188" t="s">
        <v>412</v>
      </c>
      <c r="C4" s="200" t="s">
        <v>413</v>
      </c>
      <c r="D4" s="212"/>
      <c r="E4" s="191" t="s">
        <v>414</v>
      </c>
    </row>
    <row r="5" spans="1:5" ht="16.2" thickBot="1" x14ac:dyDescent="0.35">
      <c r="A5" s="189"/>
      <c r="B5" s="189"/>
      <c r="C5" s="34" t="s">
        <v>416</v>
      </c>
      <c r="D5" s="34" t="s">
        <v>417</v>
      </c>
      <c r="E5" s="211"/>
    </row>
    <row r="6" spans="1:5" ht="21" customHeight="1" thickBot="1" x14ac:dyDescent="0.35">
      <c r="A6" s="35">
        <v>1</v>
      </c>
      <c r="B6" s="3" t="s">
        <v>106</v>
      </c>
      <c r="C6" s="3">
        <v>71</v>
      </c>
      <c r="D6" s="3">
        <v>44</v>
      </c>
      <c r="E6" s="3">
        <f>SUM(C6:D6)</f>
        <v>115</v>
      </c>
    </row>
    <row r="7" spans="1:5" ht="21" customHeight="1" thickBot="1" x14ac:dyDescent="0.35">
      <c r="A7" s="35">
        <v>2</v>
      </c>
      <c r="B7" s="3" t="s">
        <v>87</v>
      </c>
      <c r="C7" s="3">
        <v>46</v>
      </c>
      <c r="D7" s="3">
        <v>81</v>
      </c>
      <c r="E7" s="3">
        <f t="shared" ref="E7:E8" si="0">SUM(C7:D7)</f>
        <v>127</v>
      </c>
    </row>
    <row r="8" spans="1:5" ht="16.2" thickBot="1" x14ac:dyDescent="0.35">
      <c r="A8" s="155" t="s">
        <v>420</v>
      </c>
      <c r="B8" s="157"/>
      <c r="C8" s="3">
        <f>SUM(C6:C7)</f>
        <v>117</v>
      </c>
      <c r="D8" s="3">
        <f>SUM(D6:D7)</f>
        <v>125</v>
      </c>
      <c r="E8" s="3">
        <f t="shared" si="0"/>
        <v>242</v>
      </c>
    </row>
    <row r="9" spans="1:5" ht="15" thickBot="1" x14ac:dyDescent="0.35"/>
    <row r="10" spans="1:5" ht="15.6" thickBot="1" x14ac:dyDescent="0.35">
      <c r="A10" s="101" t="s">
        <v>645</v>
      </c>
      <c r="B10" s="102"/>
      <c r="C10" s="102"/>
      <c r="D10" s="100"/>
      <c r="E10" s="100"/>
    </row>
    <row r="11" spans="1:5" ht="16.2" thickBot="1" x14ac:dyDescent="0.35">
      <c r="A11" s="116" t="s">
        <v>411</v>
      </c>
      <c r="B11" s="95" t="s">
        <v>415</v>
      </c>
      <c r="C11" s="113" t="s">
        <v>416</v>
      </c>
      <c r="D11" s="114" t="s">
        <v>417</v>
      </c>
      <c r="E11" s="114" t="s">
        <v>414</v>
      </c>
    </row>
    <row r="12" spans="1:5" ht="19.5" customHeight="1" thickBot="1" x14ac:dyDescent="0.35">
      <c r="A12" s="96">
        <v>1</v>
      </c>
      <c r="B12" s="96" t="s">
        <v>178</v>
      </c>
      <c r="C12" s="35">
        <v>15</v>
      </c>
      <c r="D12" s="3">
        <v>4</v>
      </c>
      <c r="E12" s="3">
        <v>19</v>
      </c>
    </row>
    <row r="13" spans="1:5" ht="19.5" customHeight="1" thickBot="1" x14ac:dyDescent="0.35">
      <c r="A13" s="96">
        <v>2</v>
      </c>
      <c r="B13" s="96" t="s">
        <v>421</v>
      </c>
      <c r="C13" s="115"/>
      <c r="D13" s="17"/>
      <c r="E13" s="17"/>
    </row>
    <row r="14" spans="1:5" ht="19.5" customHeight="1" thickBot="1" x14ac:dyDescent="0.35">
      <c r="A14" s="96">
        <v>3</v>
      </c>
      <c r="B14" s="96" t="s">
        <v>423</v>
      </c>
      <c r="C14" s="115"/>
      <c r="D14" s="17"/>
      <c r="E14" s="17"/>
    </row>
    <row r="15" spans="1:5" ht="19.5" customHeight="1" thickBot="1" x14ac:dyDescent="0.35">
      <c r="A15" s="96">
        <v>4</v>
      </c>
      <c r="B15" s="96" t="s">
        <v>164</v>
      </c>
      <c r="C15" s="115"/>
      <c r="D15" s="17"/>
      <c r="E15" s="17"/>
    </row>
    <row r="16" spans="1:5" ht="19.5" customHeight="1" thickBot="1" x14ac:dyDescent="0.35">
      <c r="A16" s="96">
        <v>5</v>
      </c>
      <c r="B16" s="96" t="s">
        <v>14</v>
      </c>
      <c r="C16" s="35">
        <v>6</v>
      </c>
      <c r="D16" s="3">
        <v>2</v>
      </c>
      <c r="E16" s="3">
        <v>8</v>
      </c>
    </row>
    <row r="17" spans="1:5" ht="19.5" customHeight="1" thickBot="1" x14ac:dyDescent="0.35">
      <c r="A17" s="96">
        <v>6</v>
      </c>
      <c r="B17" s="96" t="s">
        <v>18</v>
      </c>
      <c r="C17" s="115"/>
      <c r="D17" s="17"/>
      <c r="E17" s="17"/>
    </row>
    <row r="18" spans="1:5" ht="19.5" customHeight="1" thickBot="1" x14ac:dyDescent="0.35">
      <c r="A18" s="96">
        <v>7</v>
      </c>
      <c r="B18" s="96" t="s">
        <v>427</v>
      </c>
      <c r="C18" s="115"/>
      <c r="D18" s="17"/>
      <c r="E18" s="17"/>
    </row>
    <row r="19" spans="1:5" ht="16.2" thickBot="1" x14ac:dyDescent="0.35">
      <c r="A19" s="153" t="s">
        <v>420</v>
      </c>
      <c r="B19" s="154"/>
      <c r="C19" s="35">
        <v>21</v>
      </c>
      <c r="D19" s="3">
        <v>6</v>
      </c>
      <c r="E19" s="3">
        <v>27</v>
      </c>
    </row>
    <row r="21" spans="1:5" ht="16.2" thickBot="1" x14ac:dyDescent="0.35">
      <c r="A21" s="129" t="s">
        <v>746</v>
      </c>
    </row>
    <row r="22" spans="1:5" ht="16.2" thickBot="1" x14ac:dyDescent="0.35">
      <c r="A22" s="116" t="s">
        <v>411</v>
      </c>
      <c r="B22" s="130" t="s">
        <v>415</v>
      </c>
      <c r="C22" s="113" t="s">
        <v>416</v>
      </c>
      <c r="D22" s="114" t="s">
        <v>417</v>
      </c>
      <c r="E22" s="114" t="s">
        <v>414</v>
      </c>
    </row>
    <row r="23" spans="1:5" ht="16.2" thickBot="1" x14ac:dyDescent="0.35">
      <c r="A23" s="96">
        <v>1</v>
      </c>
      <c r="B23" s="96" t="s">
        <v>178</v>
      </c>
      <c r="C23" s="35">
        <v>4</v>
      </c>
      <c r="D23" s="3" t="s">
        <v>643</v>
      </c>
      <c r="E23" s="3">
        <v>4</v>
      </c>
    </row>
    <row r="24" spans="1:5" ht="16.2" thickBot="1" x14ac:dyDescent="0.35">
      <c r="A24" s="96">
        <v>2</v>
      </c>
      <c r="B24" s="96" t="s">
        <v>421</v>
      </c>
      <c r="C24" s="115"/>
      <c r="D24" s="17"/>
      <c r="E24" s="17"/>
    </row>
    <row r="25" spans="1:5" ht="16.2" thickBot="1" x14ac:dyDescent="0.35">
      <c r="A25" s="96">
        <v>3</v>
      </c>
      <c r="B25" s="96" t="s">
        <v>423</v>
      </c>
      <c r="C25" s="115"/>
      <c r="D25" s="17"/>
      <c r="E25" s="17"/>
    </row>
    <row r="26" spans="1:5" ht="16.2" thickBot="1" x14ac:dyDescent="0.35">
      <c r="A26" s="96">
        <v>4</v>
      </c>
      <c r="B26" s="96" t="s">
        <v>164</v>
      </c>
      <c r="C26" s="115"/>
      <c r="D26" s="17"/>
      <c r="E26" s="17"/>
    </row>
    <row r="27" spans="1:5" ht="16.2" thickBot="1" x14ac:dyDescent="0.35">
      <c r="A27" s="96">
        <v>5</v>
      </c>
      <c r="B27" s="96" t="s">
        <v>14</v>
      </c>
      <c r="C27" s="35">
        <v>4</v>
      </c>
      <c r="D27" s="3" t="s">
        <v>643</v>
      </c>
      <c r="E27" s="3">
        <v>4</v>
      </c>
    </row>
    <row r="28" spans="1:5" ht="16.2" thickBot="1" x14ac:dyDescent="0.35">
      <c r="A28" s="96">
        <v>6</v>
      </c>
      <c r="B28" s="96" t="s">
        <v>18</v>
      </c>
      <c r="C28" s="115"/>
      <c r="D28" s="17"/>
      <c r="E28" s="17"/>
    </row>
    <row r="29" spans="1:5" ht="16.2" thickBot="1" x14ac:dyDescent="0.35">
      <c r="A29" s="96">
        <v>7</v>
      </c>
      <c r="B29" s="96" t="s">
        <v>427</v>
      </c>
      <c r="C29" s="115"/>
      <c r="D29" s="17"/>
      <c r="E29" s="17"/>
    </row>
    <row r="30" spans="1:5" ht="16.2" thickBot="1" x14ac:dyDescent="0.35">
      <c r="A30" s="153" t="s">
        <v>420</v>
      </c>
      <c r="B30" s="154"/>
      <c r="C30" s="35">
        <v>8</v>
      </c>
      <c r="D30" s="3" t="s">
        <v>643</v>
      </c>
      <c r="E30" s="3">
        <v>8</v>
      </c>
    </row>
    <row r="32" spans="1:5" ht="16.2" thickBot="1" x14ac:dyDescent="0.35">
      <c r="A32" s="129" t="s">
        <v>752</v>
      </c>
    </row>
    <row r="33" spans="1:3" ht="16.2" thickBot="1" x14ac:dyDescent="0.35">
      <c r="A33" s="116" t="s">
        <v>411</v>
      </c>
      <c r="B33" s="130" t="s">
        <v>747</v>
      </c>
      <c r="C33" s="113" t="s">
        <v>414</v>
      </c>
    </row>
    <row r="34" spans="1:3" ht="16.2" thickBot="1" x14ac:dyDescent="0.35">
      <c r="A34" s="96">
        <v>1</v>
      </c>
      <c r="B34" s="96" t="s">
        <v>748</v>
      </c>
      <c r="C34" s="35">
        <v>53</v>
      </c>
    </row>
    <row r="35" spans="1:3" ht="16.2" thickBot="1" x14ac:dyDescent="0.35">
      <c r="A35" s="96">
        <v>2</v>
      </c>
      <c r="B35" s="96" t="s">
        <v>749</v>
      </c>
      <c r="C35" s="35">
        <v>40</v>
      </c>
    </row>
    <row r="36" spans="1:3" ht="16.2" thickBot="1" x14ac:dyDescent="0.35">
      <c r="A36" s="96">
        <v>3</v>
      </c>
      <c r="B36" s="96" t="s">
        <v>750</v>
      </c>
      <c r="C36" s="35">
        <v>26</v>
      </c>
    </row>
    <row r="37" spans="1:3" ht="16.2" thickBot="1" x14ac:dyDescent="0.35">
      <c r="A37" s="96">
        <v>4</v>
      </c>
      <c r="B37" s="96" t="s">
        <v>751</v>
      </c>
      <c r="C37" s="35">
        <v>22</v>
      </c>
    </row>
    <row r="38" spans="1:3" ht="16.2" thickBot="1" x14ac:dyDescent="0.35">
      <c r="A38" s="96">
        <v>5</v>
      </c>
      <c r="B38" s="96" t="s">
        <v>753</v>
      </c>
      <c r="C38" s="35">
        <v>23</v>
      </c>
    </row>
    <row r="39" spans="1:3" ht="16.2" thickBot="1" x14ac:dyDescent="0.35">
      <c r="A39" s="96">
        <v>6</v>
      </c>
      <c r="B39" s="96" t="s">
        <v>754</v>
      </c>
      <c r="C39" s="35">
        <v>23</v>
      </c>
    </row>
    <row r="40" spans="1:3" ht="16.2" thickBot="1" x14ac:dyDescent="0.35">
      <c r="A40" s="96">
        <v>7</v>
      </c>
      <c r="B40" s="96" t="s">
        <v>756</v>
      </c>
      <c r="C40" s="35">
        <v>33</v>
      </c>
    </row>
    <row r="41" spans="1:3" ht="16.2" thickBot="1" x14ac:dyDescent="0.35">
      <c r="A41" s="96">
        <v>8</v>
      </c>
      <c r="B41" s="96" t="s">
        <v>755</v>
      </c>
      <c r="C41" s="35">
        <v>22</v>
      </c>
    </row>
    <row r="42" spans="1:3" ht="16.2" thickBot="1" x14ac:dyDescent="0.35">
      <c r="A42" s="153" t="s">
        <v>420</v>
      </c>
      <c r="B42" s="154"/>
      <c r="C42" s="35">
        <f>SUM(C34:C41)</f>
        <v>242</v>
      </c>
    </row>
  </sheetData>
  <mergeCells count="11">
    <mergeCell ref="A2:E2"/>
    <mergeCell ref="A1:E1"/>
    <mergeCell ref="A30:B30"/>
    <mergeCell ref="A42:B42"/>
    <mergeCell ref="A19:B19"/>
    <mergeCell ref="E4:E5"/>
    <mergeCell ref="A3:E3"/>
    <mergeCell ref="A4:A5"/>
    <mergeCell ref="B4:B5"/>
    <mergeCell ref="C4:D4"/>
    <mergeCell ref="A8:B8"/>
  </mergeCells>
  <pageMargins left="0.9055118110236221" right="0.70866141732283472" top="0.74803149606299213" bottom="0.74803149606299213" header="0.31496062992125984" footer="0.31496062992125984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CE9C-2488-4C2B-9639-8718356091DD}">
  <dimension ref="A1:L31"/>
  <sheetViews>
    <sheetView zoomScale="87" zoomScaleNormal="87" workbookViewId="0">
      <selection activeCell="E6" sqref="E6"/>
    </sheetView>
  </sheetViews>
  <sheetFormatPr defaultRowHeight="14.4" x14ac:dyDescent="0.3"/>
  <cols>
    <col min="1" max="1" width="4.88671875" customWidth="1"/>
    <col min="2" max="2" width="27" customWidth="1"/>
    <col min="3" max="3" width="21.5546875" customWidth="1"/>
    <col min="4" max="4" width="8.44140625" customWidth="1"/>
    <col min="5" max="5" width="7.44140625" customWidth="1"/>
    <col min="6" max="6" width="7" customWidth="1"/>
    <col min="7" max="7" width="7.109375" customWidth="1"/>
    <col min="8" max="8" width="32.109375" customWidth="1"/>
    <col min="9" max="9" width="6.5546875" customWidth="1"/>
    <col min="10" max="10" width="7.33203125" customWidth="1"/>
    <col min="11" max="11" width="7.44140625" customWidth="1"/>
    <col min="12" max="12" width="17" customWidth="1"/>
  </cols>
  <sheetData>
    <row r="1" spans="1:12" ht="15" thickBot="1" x14ac:dyDescent="0.35">
      <c r="A1" s="218" t="s">
        <v>79</v>
      </c>
      <c r="B1" s="219"/>
      <c r="C1" s="219"/>
      <c r="D1" s="219"/>
      <c r="E1" s="219"/>
      <c r="F1" s="219"/>
      <c r="G1" s="219"/>
      <c r="H1" s="220"/>
      <c r="I1" s="16"/>
      <c r="J1" s="16"/>
      <c r="K1" s="16"/>
      <c r="L1" s="16"/>
    </row>
    <row r="2" spans="1:12" ht="15" thickBot="1" x14ac:dyDescent="0.35">
      <c r="A2" s="221"/>
      <c r="B2" s="222"/>
      <c r="C2" s="222"/>
      <c r="D2" s="222"/>
      <c r="E2" s="222"/>
      <c r="F2" s="222"/>
      <c r="G2" s="222"/>
      <c r="H2" s="223"/>
      <c r="I2" s="16"/>
      <c r="J2" s="16"/>
      <c r="K2" s="16"/>
      <c r="L2" s="16"/>
    </row>
    <row r="3" spans="1:12" ht="15" thickBot="1" x14ac:dyDescent="0.35">
      <c r="A3" s="25" t="s">
        <v>16</v>
      </c>
      <c r="B3" s="6"/>
      <c r="C3" s="6"/>
      <c r="D3" s="6"/>
      <c r="E3" s="6"/>
      <c r="F3" s="6"/>
      <c r="G3" s="6"/>
      <c r="H3" s="6"/>
      <c r="I3" s="16"/>
      <c r="J3" s="16"/>
      <c r="K3" s="16"/>
      <c r="L3" s="16"/>
    </row>
    <row r="4" spans="1:12" ht="30.75" customHeight="1" thickBot="1" x14ac:dyDescent="0.35">
      <c r="A4" s="213" t="s">
        <v>0</v>
      </c>
      <c r="B4" s="224"/>
      <c r="C4" s="213" t="s">
        <v>1</v>
      </c>
      <c r="D4" s="213" t="s">
        <v>2</v>
      </c>
      <c r="E4" s="213" t="s">
        <v>725</v>
      </c>
      <c r="F4" s="213" t="s">
        <v>4</v>
      </c>
      <c r="G4" s="213" t="s">
        <v>5</v>
      </c>
      <c r="H4" s="213" t="s">
        <v>6</v>
      </c>
      <c r="I4" s="215" t="s">
        <v>7</v>
      </c>
      <c r="J4" s="216"/>
      <c r="K4" s="217"/>
      <c r="L4" s="213" t="s">
        <v>8</v>
      </c>
    </row>
    <row r="5" spans="1:12" ht="15" thickBot="1" x14ac:dyDescent="0.35">
      <c r="A5" s="214"/>
      <c r="B5" s="225"/>
      <c r="C5" s="214"/>
      <c r="D5" s="214"/>
      <c r="E5" s="214"/>
      <c r="F5" s="214"/>
      <c r="G5" s="214"/>
      <c r="H5" s="214"/>
      <c r="I5" s="27" t="s">
        <v>9</v>
      </c>
      <c r="J5" s="27" t="s">
        <v>10</v>
      </c>
      <c r="K5" s="27" t="s">
        <v>11</v>
      </c>
      <c r="L5" s="214"/>
    </row>
    <row r="6" spans="1:12" s="16" customFormat="1" ht="47.25" customHeight="1" thickBot="1" x14ac:dyDescent="0.35">
      <c r="A6" s="13">
        <v>1</v>
      </c>
      <c r="B6" s="131" t="s">
        <v>758</v>
      </c>
      <c r="C6" s="133" t="s">
        <v>759</v>
      </c>
      <c r="D6" s="126" t="s">
        <v>12</v>
      </c>
      <c r="E6" s="15" t="s">
        <v>153</v>
      </c>
      <c r="F6" s="15" t="s">
        <v>14</v>
      </c>
      <c r="G6" s="15" t="s">
        <v>15</v>
      </c>
      <c r="H6" s="15" t="s">
        <v>757</v>
      </c>
      <c r="I6" s="2"/>
      <c r="J6" s="2"/>
      <c r="K6" s="2"/>
      <c r="L6" s="15" t="s">
        <v>16</v>
      </c>
    </row>
    <row r="7" spans="1:12" s="16" customFormat="1" ht="47.25" customHeight="1" thickBot="1" x14ac:dyDescent="0.35">
      <c r="A7" s="13">
        <v>2</v>
      </c>
      <c r="B7" s="2" t="s">
        <v>17</v>
      </c>
      <c r="C7" s="132" t="s">
        <v>462</v>
      </c>
      <c r="D7" s="15" t="s">
        <v>12</v>
      </c>
      <c r="E7" s="15" t="s">
        <v>13</v>
      </c>
      <c r="F7" s="15" t="s">
        <v>18</v>
      </c>
      <c r="G7" s="15" t="s">
        <v>19</v>
      </c>
      <c r="H7" s="15" t="s">
        <v>20</v>
      </c>
      <c r="I7" s="2"/>
      <c r="J7" s="24" t="s">
        <v>21</v>
      </c>
      <c r="K7" s="24" t="s">
        <v>21</v>
      </c>
      <c r="L7" s="15" t="s">
        <v>16</v>
      </c>
    </row>
    <row r="8" spans="1:12" s="16" customFormat="1" ht="47.25" customHeight="1" thickBot="1" x14ac:dyDescent="0.35">
      <c r="A8" s="13">
        <v>3</v>
      </c>
      <c r="B8" s="2" t="s">
        <v>26</v>
      </c>
      <c r="C8" s="39" t="s">
        <v>464</v>
      </c>
      <c r="D8" s="15" t="s">
        <v>12</v>
      </c>
      <c r="E8" s="15" t="s">
        <v>23</v>
      </c>
      <c r="F8" s="15" t="s">
        <v>14</v>
      </c>
      <c r="G8" s="15" t="s">
        <v>24</v>
      </c>
      <c r="H8" s="15" t="s">
        <v>27</v>
      </c>
      <c r="I8" s="2"/>
      <c r="J8" s="120"/>
      <c r="K8" s="24" t="s">
        <v>21</v>
      </c>
      <c r="L8" s="15" t="s">
        <v>16</v>
      </c>
    </row>
    <row r="9" spans="1:12" s="16" customFormat="1" ht="47.25" customHeight="1" thickBot="1" x14ac:dyDescent="0.35">
      <c r="A9" s="13">
        <v>4</v>
      </c>
      <c r="B9" s="2" t="s">
        <v>28</v>
      </c>
      <c r="C9" s="39" t="s">
        <v>465</v>
      </c>
      <c r="D9" s="15" t="s">
        <v>12</v>
      </c>
      <c r="E9" s="15" t="s">
        <v>29</v>
      </c>
      <c r="F9" s="15" t="s">
        <v>18</v>
      </c>
      <c r="G9" s="15" t="s">
        <v>24</v>
      </c>
      <c r="H9" s="15" t="s">
        <v>30</v>
      </c>
      <c r="I9" s="2"/>
      <c r="J9" s="120"/>
      <c r="K9" s="24" t="s">
        <v>31</v>
      </c>
      <c r="L9" s="15" t="s">
        <v>16</v>
      </c>
    </row>
    <row r="10" spans="1:12" s="16" customFormat="1" ht="62.25" customHeight="1" thickBot="1" x14ac:dyDescent="0.35">
      <c r="A10" s="13">
        <v>5</v>
      </c>
      <c r="B10" s="2" t="s">
        <v>32</v>
      </c>
      <c r="C10" s="39" t="s">
        <v>466</v>
      </c>
      <c r="D10" s="15" t="s">
        <v>12</v>
      </c>
      <c r="E10" s="15" t="s">
        <v>13</v>
      </c>
      <c r="F10" s="15" t="s">
        <v>18</v>
      </c>
      <c r="G10" s="15" t="s">
        <v>19</v>
      </c>
      <c r="H10" s="15" t="s">
        <v>33</v>
      </c>
      <c r="I10" s="2"/>
      <c r="J10" s="24" t="s">
        <v>31</v>
      </c>
      <c r="K10" s="24" t="s">
        <v>21</v>
      </c>
      <c r="L10" s="15" t="s">
        <v>16</v>
      </c>
    </row>
    <row r="11" spans="1:12" s="16" customFormat="1" ht="47.25" customHeight="1" thickBot="1" x14ac:dyDescent="0.35">
      <c r="A11" s="13">
        <v>6</v>
      </c>
      <c r="B11" s="2" t="s">
        <v>34</v>
      </c>
      <c r="C11" s="39" t="s">
        <v>467</v>
      </c>
      <c r="D11" s="15" t="s">
        <v>35</v>
      </c>
      <c r="E11" s="15" t="s">
        <v>29</v>
      </c>
      <c r="F11" s="15" t="s">
        <v>18</v>
      </c>
      <c r="G11" s="15" t="s">
        <v>24</v>
      </c>
      <c r="H11" s="15" t="s">
        <v>36</v>
      </c>
      <c r="I11" s="2"/>
      <c r="J11" s="120"/>
      <c r="K11" s="24" t="s">
        <v>31</v>
      </c>
      <c r="L11" s="15" t="s">
        <v>16</v>
      </c>
    </row>
    <row r="12" spans="1:12" s="16" customFormat="1" ht="45" customHeight="1" thickBot="1" x14ac:dyDescent="0.35">
      <c r="A12" s="13">
        <v>7</v>
      </c>
      <c r="B12" s="2" t="s">
        <v>37</v>
      </c>
      <c r="C12" s="39" t="s">
        <v>468</v>
      </c>
      <c r="D12" s="15" t="s">
        <v>35</v>
      </c>
      <c r="E12" s="15" t="s">
        <v>23</v>
      </c>
      <c r="F12" s="15" t="s">
        <v>14</v>
      </c>
      <c r="G12" s="15" t="s">
        <v>24</v>
      </c>
      <c r="H12" s="15" t="s">
        <v>38</v>
      </c>
      <c r="I12" s="2"/>
      <c r="J12" s="120"/>
      <c r="K12" s="24" t="s">
        <v>31</v>
      </c>
      <c r="L12" s="15" t="s">
        <v>16</v>
      </c>
    </row>
    <row r="13" spans="1:12" s="16" customFormat="1" ht="58.5" customHeight="1" thickBot="1" x14ac:dyDescent="0.35">
      <c r="A13" s="13">
        <v>8</v>
      </c>
      <c r="B13" s="2" t="s">
        <v>39</v>
      </c>
      <c r="C13" s="39" t="s">
        <v>469</v>
      </c>
      <c r="D13" s="15" t="s">
        <v>12</v>
      </c>
      <c r="E13" s="15" t="s">
        <v>29</v>
      </c>
      <c r="F13" s="15" t="s">
        <v>18</v>
      </c>
      <c r="G13" s="15" t="s">
        <v>19</v>
      </c>
      <c r="H13" s="15" t="s">
        <v>40</v>
      </c>
      <c r="I13" s="2"/>
      <c r="J13" s="24" t="s">
        <v>21</v>
      </c>
      <c r="K13" s="24" t="s">
        <v>21</v>
      </c>
      <c r="L13" s="15" t="s">
        <v>16</v>
      </c>
    </row>
    <row r="14" spans="1:12" s="16" customFormat="1" ht="47.25" customHeight="1" thickBot="1" x14ac:dyDescent="0.35">
      <c r="A14" s="13">
        <v>9</v>
      </c>
      <c r="B14" s="2" t="s">
        <v>41</v>
      </c>
      <c r="C14" s="39" t="s">
        <v>470</v>
      </c>
      <c r="D14" s="15" t="s">
        <v>12</v>
      </c>
      <c r="E14" s="15" t="s">
        <v>29</v>
      </c>
      <c r="F14" s="15" t="s">
        <v>18</v>
      </c>
      <c r="G14" s="15" t="s">
        <v>24</v>
      </c>
      <c r="H14" s="18" t="s">
        <v>42</v>
      </c>
      <c r="I14" s="2"/>
      <c r="J14" s="120"/>
      <c r="K14" s="120"/>
      <c r="L14" s="15" t="s">
        <v>16</v>
      </c>
    </row>
    <row r="15" spans="1:12" s="16" customFormat="1" ht="47.25" customHeight="1" thickBot="1" x14ac:dyDescent="0.35">
      <c r="A15" s="13">
        <v>10</v>
      </c>
      <c r="B15" s="2" t="s">
        <v>43</v>
      </c>
      <c r="C15" s="39" t="s">
        <v>471</v>
      </c>
      <c r="D15" s="15" t="s">
        <v>35</v>
      </c>
      <c r="E15" s="15" t="s">
        <v>29</v>
      </c>
      <c r="F15" s="15" t="s">
        <v>18</v>
      </c>
      <c r="G15" s="15" t="s">
        <v>24</v>
      </c>
      <c r="H15" s="15" t="s">
        <v>44</v>
      </c>
      <c r="I15" s="2"/>
      <c r="J15" s="120"/>
      <c r="K15" s="24" t="s">
        <v>31</v>
      </c>
      <c r="L15" s="15" t="s">
        <v>16</v>
      </c>
    </row>
    <row r="16" spans="1:12" s="16" customFormat="1" ht="47.25" customHeight="1" thickBot="1" x14ac:dyDescent="0.35">
      <c r="A16" s="13">
        <v>11</v>
      </c>
      <c r="B16" s="2" t="s">
        <v>45</v>
      </c>
      <c r="C16" s="39" t="s">
        <v>472</v>
      </c>
      <c r="D16" s="15" t="s">
        <v>12</v>
      </c>
      <c r="E16" s="15" t="s">
        <v>13</v>
      </c>
      <c r="F16" s="15" t="s">
        <v>18</v>
      </c>
      <c r="G16" s="15" t="s">
        <v>19</v>
      </c>
      <c r="H16" s="15" t="s">
        <v>46</v>
      </c>
      <c r="I16" s="2"/>
      <c r="J16" s="24" t="s">
        <v>21</v>
      </c>
      <c r="K16" s="24" t="s">
        <v>21</v>
      </c>
      <c r="L16" s="15" t="s">
        <v>16</v>
      </c>
    </row>
    <row r="17" spans="1:12" s="16" customFormat="1" ht="47.25" customHeight="1" thickBot="1" x14ac:dyDescent="0.35">
      <c r="A17" s="13">
        <v>12</v>
      </c>
      <c r="B17" s="2" t="s">
        <v>47</v>
      </c>
      <c r="C17" s="39" t="s">
        <v>473</v>
      </c>
      <c r="D17" s="15" t="s">
        <v>35</v>
      </c>
      <c r="E17" s="15" t="s">
        <v>29</v>
      </c>
      <c r="F17" s="15" t="s">
        <v>18</v>
      </c>
      <c r="G17" s="15" t="s">
        <v>24</v>
      </c>
      <c r="H17" s="15" t="s">
        <v>48</v>
      </c>
      <c r="I17" s="2"/>
      <c r="J17" s="120"/>
      <c r="K17" s="24" t="s">
        <v>21</v>
      </c>
      <c r="L17" s="15" t="s">
        <v>16</v>
      </c>
    </row>
    <row r="18" spans="1:12" s="16" customFormat="1" ht="47.25" customHeight="1" thickBot="1" x14ac:dyDescent="0.35">
      <c r="A18" s="13">
        <v>13</v>
      </c>
      <c r="B18" s="2" t="s">
        <v>49</v>
      </c>
      <c r="C18" s="40" t="s">
        <v>474</v>
      </c>
      <c r="D18" s="15" t="s">
        <v>12</v>
      </c>
      <c r="E18" s="15" t="s">
        <v>23</v>
      </c>
      <c r="F18" s="15" t="s">
        <v>14</v>
      </c>
      <c r="G18" s="15" t="s">
        <v>24</v>
      </c>
      <c r="H18" s="15" t="s">
        <v>50</v>
      </c>
      <c r="I18" s="2"/>
      <c r="J18" s="120"/>
      <c r="K18" s="120"/>
      <c r="L18" s="2"/>
    </row>
    <row r="19" spans="1:12" s="16" customFormat="1" ht="47.25" customHeight="1" thickBot="1" x14ac:dyDescent="0.35">
      <c r="A19" s="13">
        <v>14</v>
      </c>
      <c r="B19" s="2" t="s">
        <v>51</v>
      </c>
      <c r="C19" s="40" t="s">
        <v>475</v>
      </c>
      <c r="D19" s="15" t="s">
        <v>35</v>
      </c>
      <c r="E19" s="15" t="s">
        <v>29</v>
      </c>
      <c r="F19" s="15" t="s">
        <v>18</v>
      </c>
      <c r="G19" s="15" t="s">
        <v>19</v>
      </c>
      <c r="H19" s="24" t="s">
        <v>52</v>
      </c>
      <c r="I19" s="2"/>
      <c r="J19" s="24" t="s">
        <v>21</v>
      </c>
      <c r="K19" s="24" t="s">
        <v>21</v>
      </c>
      <c r="L19" s="15" t="s">
        <v>16</v>
      </c>
    </row>
    <row r="20" spans="1:12" s="16" customFormat="1" ht="49.5" customHeight="1" thickBot="1" x14ac:dyDescent="0.35">
      <c r="A20" s="13">
        <v>15</v>
      </c>
      <c r="B20" s="2" t="s">
        <v>53</v>
      </c>
      <c r="C20" s="39" t="s">
        <v>763</v>
      </c>
      <c r="D20" s="15" t="s">
        <v>35</v>
      </c>
      <c r="E20" s="15" t="s">
        <v>23</v>
      </c>
      <c r="F20" s="15" t="s">
        <v>14</v>
      </c>
      <c r="G20" s="15" t="s">
        <v>24</v>
      </c>
      <c r="H20" s="22" t="s">
        <v>54</v>
      </c>
      <c r="I20" s="2"/>
      <c r="J20" s="120"/>
      <c r="K20" s="120"/>
      <c r="L20" s="2"/>
    </row>
    <row r="21" spans="1:12" s="16" customFormat="1" ht="47.25" customHeight="1" thickBot="1" x14ac:dyDescent="0.35">
      <c r="A21" s="13">
        <v>16</v>
      </c>
      <c r="B21" s="2" t="s">
        <v>55</v>
      </c>
      <c r="C21" s="39" t="s">
        <v>476</v>
      </c>
      <c r="D21" s="15" t="s">
        <v>12</v>
      </c>
      <c r="E21" s="15" t="s">
        <v>23</v>
      </c>
      <c r="F21" s="15" t="s">
        <v>18</v>
      </c>
      <c r="G21" s="15" t="s">
        <v>24</v>
      </c>
      <c r="H21" s="14" t="s">
        <v>56</v>
      </c>
      <c r="I21" s="2"/>
      <c r="J21" s="120"/>
      <c r="K21" s="120"/>
      <c r="L21" s="2"/>
    </row>
    <row r="22" spans="1:12" s="16" customFormat="1" ht="47.25" customHeight="1" thickBot="1" x14ac:dyDescent="0.35">
      <c r="A22" s="13">
        <v>17</v>
      </c>
      <c r="B22" s="4" t="s">
        <v>59</v>
      </c>
      <c r="C22" s="38" t="s">
        <v>478</v>
      </c>
      <c r="D22" s="14" t="s">
        <v>35</v>
      </c>
      <c r="E22" s="15" t="s">
        <v>29</v>
      </c>
      <c r="F22" s="15" t="s">
        <v>18</v>
      </c>
      <c r="G22" s="15" t="s">
        <v>24</v>
      </c>
      <c r="H22" s="21" t="s">
        <v>60</v>
      </c>
      <c r="I22" s="4"/>
      <c r="J22" s="118"/>
      <c r="K22" s="21" t="s">
        <v>21</v>
      </c>
      <c r="L22" s="15" t="s">
        <v>16</v>
      </c>
    </row>
    <row r="23" spans="1:12" s="16" customFormat="1" ht="69" thickBot="1" x14ac:dyDescent="0.35">
      <c r="A23" s="13">
        <v>18</v>
      </c>
      <c r="B23" s="4" t="s">
        <v>61</v>
      </c>
      <c r="C23" s="38" t="s">
        <v>479</v>
      </c>
      <c r="D23" s="14" t="s">
        <v>12</v>
      </c>
      <c r="E23" s="15" t="s">
        <v>29</v>
      </c>
      <c r="F23" s="15" t="s">
        <v>18</v>
      </c>
      <c r="G23" s="15" t="s">
        <v>24</v>
      </c>
      <c r="H23" s="21" t="s">
        <v>62</v>
      </c>
      <c r="I23" s="4"/>
      <c r="J23" s="118"/>
      <c r="K23" s="21" t="s">
        <v>31</v>
      </c>
      <c r="L23" s="15" t="s">
        <v>16</v>
      </c>
    </row>
    <row r="24" spans="1:12" s="16" customFormat="1" ht="47.25" customHeight="1" thickBot="1" x14ac:dyDescent="0.35">
      <c r="A24" s="13">
        <v>19</v>
      </c>
      <c r="B24" s="4" t="s">
        <v>63</v>
      </c>
      <c r="C24" s="38" t="s">
        <v>480</v>
      </c>
      <c r="D24" s="14" t="s">
        <v>12</v>
      </c>
      <c r="E24" s="15" t="s">
        <v>29</v>
      </c>
      <c r="F24" s="15" t="s">
        <v>18</v>
      </c>
      <c r="G24" s="15" t="s">
        <v>64</v>
      </c>
      <c r="H24" s="14" t="s">
        <v>65</v>
      </c>
      <c r="I24" s="4"/>
      <c r="J24" s="21" t="s">
        <v>21</v>
      </c>
      <c r="K24" s="21" t="s">
        <v>21</v>
      </c>
      <c r="L24" s="15" t="s">
        <v>16</v>
      </c>
    </row>
    <row r="25" spans="1:12" s="16" customFormat="1" ht="47.25" customHeight="1" thickBot="1" x14ac:dyDescent="0.35">
      <c r="A25" s="13">
        <v>20</v>
      </c>
      <c r="B25" s="4" t="s">
        <v>66</v>
      </c>
      <c r="C25" s="38" t="s">
        <v>481</v>
      </c>
      <c r="D25" s="14" t="s">
        <v>35</v>
      </c>
      <c r="E25" s="15" t="s">
        <v>23</v>
      </c>
      <c r="F25" s="15" t="s">
        <v>14</v>
      </c>
      <c r="G25" s="15" t="s">
        <v>24</v>
      </c>
      <c r="H25" s="14" t="s">
        <v>67</v>
      </c>
      <c r="I25" s="4"/>
      <c r="J25" s="118"/>
      <c r="K25" s="21" t="s">
        <v>21</v>
      </c>
      <c r="L25" s="15" t="s">
        <v>16</v>
      </c>
    </row>
    <row r="26" spans="1:12" s="16" customFormat="1" ht="47.25" customHeight="1" thickBot="1" x14ac:dyDescent="0.35">
      <c r="A26" s="13">
        <v>21</v>
      </c>
      <c r="B26" s="4" t="s">
        <v>68</v>
      </c>
      <c r="C26" s="38" t="s">
        <v>482</v>
      </c>
      <c r="D26" s="14" t="s">
        <v>35</v>
      </c>
      <c r="E26" s="15" t="s">
        <v>29</v>
      </c>
      <c r="F26" s="15" t="s">
        <v>18</v>
      </c>
      <c r="G26" s="15" t="s">
        <v>24</v>
      </c>
      <c r="H26" s="14" t="s">
        <v>69</v>
      </c>
      <c r="I26" s="4"/>
      <c r="J26" s="118"/>
      <c r="K26" s="21" t="s">
        <v>21</v>
      </c>
      <c r="L26" s="15" t="s">
        <v>16</v>
      </c>
    </row>
    <row r="27" spans="1:12" s="16" customFormat="1" ht="47.25" customHeight="1" thickBot="1" x14ac:dyDescent="0.35">
      <c r="A27" s="13">
        <v>22</v>
      </c>
      <c r="B27" s="4" t="s">
        <v>70</v>
      </c>
      <c r="C27" s="38" t="s">
        <v>483</v>
      </c>
      <c r="D27" s="14" t="s">
        <v>12</v>
      </c>
      <c r="E27" s="15" t="s">
        <v>29</v>
      </c>
      <c r="F27" s="15" t="s">
        <v>18</v>
      </c>
      <c r="G27" s="15" t="s">
        <v>24</v>
      </c>
      <c r="H27" s="14" t="s">
        <v>71</v>
      </c>
      <c r="I27" s="4"/>
      <c r="J27" s="118"/>
      <c r="K27" s="21" t="s">
        <v>21</v>
      </c>
      <c r="L27" s="15" t="s">
        <v>16</v>
      </c>
    </row>
    <row r="28" spans="1:12" s="16" customFormat="1" ht="47.25" customHeight="1" thickBot="1" x14ac:dyDescent="0.35">
      <c r="A28" s="13">
        <v>23</v>
      </c>
      <c r="B28" s="4" t="s">
        <v>72</v>
      </c>
      <c r="C28" s="38" t="s">
        <v>484</v>
      </c>
      <c r="D28" s="14" t="s">
        <v>35</v>
      </c>
      <c r="E28" s="15" t="s">
        <v>29</v>
      </c>
      <c r="F28" s="15" t="s">
        <v>14</v>
      </c>
      <c r="G28" s="15" t="s">
        <v>64</v>
      </c>
      <c r="H28" s="14" t="s">
        <v>461</v>
      </c>
      <c r="I28" s="4"/>
      <c r="J28" s="118"/>
      <c r="K28" s="118"/>
      <c r="L28" s="15" t="s">
        <v>16</v>
      </c>
    </row>
    <row r="29" spans="1:12" s="16" customFormat="1" ht="47.25" customHeight="1" thickBot="1" x14ac:dyDescent="0.35">
      <c r="A29" s="13">
        <v>24</v>
      </c>
      <c r="B29" s="4" t="s">
        <v>73</v>
      </c>
      <c r="C29" s="38" t="s">
        <v>485</v>
      </c>
      <c r="D29" s="14" t="s">
        <v>12</v>
      </c>
      <c r="E29" s="15" t="s">
        <v>29</v>
      </c>
      <c r="F29" s="15" t="s">
        <v>18</v>
      </c>
      <c r="G29" s="15" t="s">
        <v>24</v>
      </c>
      <c r="H29" s="14" t="s">
        <v>74</v>
      </c>
      <c r="I29" s="4"/>
      <c r="J29" s="118"/>
      <c r="K29" s="21" t="s">
        <v>21</v>
      </c>
      <c r="L29" s="15" t="s">
        <v>16</v>
      </c>
    </row>
    <row r="30" spans="1:12" s="16" customFormat="1" ht="47.25" customHeight="1" thickBot="1" x14ac:dyDescent="0.35">
      <c r="A30" s="13">
        <v>25</v>
      </c>
      <c r="B30" s="4" t="s">
        <v>75</v>
      </c>
      <c r="C30" s="38" t="s">
        <v>486</v>
      </c>
      <c r="D30" s="14" t="s">
        <v>12</v>
      </c>
      <c r="E30" s="15" t="s">
        <v>23</v>
      </c>
      <c r="F30" s="15" t="s">
        <v>14</v>
      </c>
      <c r="G30" s="15" t="s">
        <v>24</v>
      </c>
      <c r="H30" s="14" t="s">
        <v>76</v>
      </c>
      <c r="I30" s="4"/>
      <c r="J30" s="118"/>
      <c r="K30" s="21" t="s">
        <v>31</v>
      </c>
      <c r="L30" s="15" t="s">
        <v>16</v>
      </c>
    </row>
    <row r="31" spans="1:12" s="16" customFormat="1" ht="47.25" customHeight="1" thickBot="1" x14ac:dyDescent="0.35">
      <c r="A31" s="13">
        <v>26</v>
      </c>
      <c r="B31" s="4" t="s">
        <v>77</v>
      </c>
      <c r="C31" s="38" t="s">
        <v>554</v>
      </c>
      <c r="D31" s="14" t="s">
        <v>35</v>
      </c>
      <c r="E31" s="15" t="s">
        <v>13</v>
      </c>
      <c r="F31" s="15" t="s">
        <v>14</v>
      </c>
      <c r="G31" s="15" t="s">
        <v>24</v>
      </c>
      <c r="H31" s="14" t="s">
        <v>78</v>
      </c>
      <c r="I31" s="4"/>
      <c r="J31" s="118"/>
      <c r="K31" s="21" t="s">
        <v>31</v>
      </c>
      <c r="L31" s="15" t="s">
        <v>16</v>
      </c>
    </row>
  </sheetData>
  <mergeCells count="12">
    <mergeCell ref="G4:G5"/>
    <mergeCell ref="H4:H5"/>
    <mergeCell ref="I4:K4"/>
    <mergeCell ref="L4:L5"/>
    <mergeCell ref="A1:H1"/>
    <mergeCell ref="A2:H2"/>
    <mergeCell ref="A4:A5"/>
    <mergeCell ref="B4:B5"/>
    <mergeCell ref="C4:C5"/>
    <mergeCell ref="D4:D5"/>
    <mergeCell ref="E4:E5"/>
    <mergeCell ref="F4:F5"/>
  </mergeCells>
  <pageMargins left="0.51181102362204722" right="0.31496062992125984" top="0.55118110236220474" bottom="0.55118110236220474" header="0.31496062992125984" footer="0.31496062992125984"/>
  <pageSetup paperSize="5" scale="9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ED0A-83EB-4069-9B22-26D5D4E9EE3D}">
  <dimension ref="A1:L43"/>
  <sheetViews>
    <sheetView topLeftCell="A11" workbookViewId="0">
      <selection activeCell="G17" sqref="G17"/>
    </sheetView>
  </sheetViews>
  <sheetFormatPr defaultRowHeight="14.4" x14ac:dyDescent="0.3"/>
  <cols>
    <col min="1" max="1" width="3.88671875" style="16" customWidth="1"/>
    <col min="2" max="2" width="25.44140625" style="16" customWidth="1"/>
    <col min="3" max="3" width="19.6640625" style="16" customWidth="1"/>
    <col min="4" max="5" width="9.109375" style="16" customWidth="1"/>
    <col min="6" max="6" width="7.88671875" style="16" customWidth="1"/>
    <col min="7" max="7" width="11.5546875" style="16" customWidth="1"/>
    <col min="8" max="8" width="14.5546875" style="16" customWidth="1"/>
    <col min="9" max="9" width="17.44140625" style="23" customWidth="1"/>
    <col min="10" max="10" width="24" style="16" customWidth="1"/>
    <col min="11" max="11" width="16" style="16" customWidth="1"/>
    <col min="12" max="12" width="4.109375" style="16" customWidth="1"/>
  </cols>
  <sheetData>
    <row r="1" spans="1:12" ht="15.75" customHeight="1" thickBot="1" x14ac:dyDescent="0.35">
      <c r="B1" s="226" t="s">
        <v>80</v>
      </c>
      <c r="C1" s="227"/>
      <c r="D1" s="227"/>
      <c r="E1" s="227"/>
      <c r="F1" s="227"/>
      <c r="G1" s="227"/>
      <c r="H1" s="227"/>
      <c r="I1" s="227"/>
      <c r="J1" s="227"/>
      <c r="K1" s="227"/>
      <c r="L1" s="228"/>
    </row>
    <row r="2" spans="1:12" ht="15" thickBot="1" x14ac:dyDescent="0.35">
      <c r="B2" s="6"/>
      <c r="C2" s="6"/>
      <c r="D2" s="6"/>
      <c r="E2" s="6"/>
      <c r="F2" s="6"/>
      <c r="G2" s="6"/>
      <c r="H2" s="6"/>
      <c r="I2" s="19"/>
      <c r="J2" s="6"/>
      <c r="K2" s="6"/>
      <c r="L2" s="6"/>
    </row>
    <row r="3" spans="1:12" ht="15" thickBot="1" x14ac:dyDescent="0.35">
      <c r="B3" s="25" t="s">
        <v>16</v>
      </c>
      <c r="C3" s="6"/>
      <c r="D3" s="6"/>
      <c r="E3" s="6"/>
      <c r="F3" s="6"/>
      <c r="G3" s="6"/>
      <c r="H3" s="6"/>
      <c r="I3" s="19"/>
      <c r="J3" s="6"/>
      <c r="K3" s="6"/>
      <c r="L3" s="6"/>
    </row>
    <row r="4" spans="1:12" ht="15" thickBot="1" x14ac:dyDescent="0.35">
      <c r="A4" s="7"/>
      <c r="B4" s="7"/>
      <c r="C4" s="7"/>
      <c r="D4" s="7"/>
      <c r="E4" s="7"/>
      <c r="F4" s="7"/>
      <c r="G4" s="7"/>
      <c r="H4" s="7"/>
      <c r="I4" s="20"/>
      <c r="J4" s="7"/>
      <c r="K4" s="7"/>
      <c r="L4" s="7"/>
    </row>
    <row r="5" spans="1:12" ht="42.75" customHeight="1" thickBot="1" x14ac:dyDescent="0.35">
      <c r="A5" s="26" t="s">
        <v>0</v>
      </c>
      <c r="B5" s="27" t="s">
        <v>81</v>
      </c>
      <c r="C5" s="27" t="s">
        <v>1</v>
      </c>
      <c r="D5" s="27" t="s">
        <v>82</v>
      </c>
      <c r="E5" s="27" t="s">
        <v>2</v>
      </c>
      <c r="F5" s="27" t="s">
        <v>646</v>
      </c>
      <c r="G5" s="27" t="s">
        <v>4</v>
      </c>
      <c r="H5" s="27" t="s">
        <v>83</v>
      </c>
      <c r="I5" s="125" t="s">
        <v>6</v>
      </c>
      <c r="J5" s="27" t="s">
        <v>84</v>
      </c>
      <c r="K5" s="27" t="s">
        <v>8</v>
      </c>
      <c r="L5" s="27" t="s">
        <v>85</v>
      </c>
    </row>
    <row r="6" spans="1:12" ht="34.799999999999997" thickBot="1" x14ac:dyDescent="0.35">
      <c r="A6" s="117">
        <v>1</v>
      </c>
      <c r="B6" s="118" t="s">
        <v>86</v>
      </c>
      <c r="C6" s="119" t="s">
        <v>552</v>
      </c>
      <c r="D6" s="24" t="s">
        <v>87</v>
      </c>
      <c r="E6" s="24" t="s">
        <v>12</v>
      </c>
      <c r="F6" s="24" t="s">
        <v>88</v>
      </c>
      <c r="G6" s="24" t="s">
        <v>14</v>
      </c>
      <c r="H6" s="24" t="s">
        <v>89</v>
      </c>
      <c r="I6" s="24" t="s">
        <v>90</v>
      </c>
      <c r="J6" s="21" t="s">
        <v>91</v>
      </c>
      <c r="K6" s="24" t="s">
        <v>16</v>
      </c>
      <c r="L6" s="2"/>
    </row>
    <row r="7" spans="1:12" ht="34.799999999999997" thickBot="1" x14ac:dyDescent="0.35">
      <c r="A7" s="117">
        <v>2</v>
      </c>
      <c r="B7" s="118" t="s">
        <v>92</v>
      </c>
      <c r="C7" s="119" t="s">
        <v>517</v>
      </c>
      <c r="D7" s="24" t="s">
        <v>87</v>
      </c>
      <c r="E7" s="24" t="s">
        <v>35</v>
      </c>
      <c r="F7" s="24" t="s">
        <v>88</v>
      </c>
      <c r="G7" s="24" t="s">
        <v>14</v>
      </c>
      <c r="H7" s="24" t="s">
        <v>89</v>
      </c>
      <c r="I7" s="24" t="s">
        <v>93</v>
      </c>
      <c r="J7" s="21" t="s">
        <v>94</v>
      </c>
      <c r="K7" s="24" t="s">
        <v>16</v>
      </c>
      <c r="L7" s="2"/>
    </row>
    <row r="8" spans="1:12" ht="34.799999999999997" thickBot="1" x14ac:dyDescent="0.35">
      <c r="A8" s="117">
        <v>3</v>
      </c>
      <c r="B8" s="118" t="s">
        <v>95</v>
      </c>
      <c r="C8" s="124" t="s">
        <v>516</v>
      </c>
      <c r="D8" s="122" t="s">
        <v>87</v>
      </c>
      <c r="E8" s="21" t="s">
        <v>35</v>
      </c>
      <c r="F8" s="24" t="s">
        <v>88</v>
      </c>
      <c r="G8" s="24" t="s">
        <v>14</v>
      </c>
      <c r="H8" s="24" t="s">
        <v>89</v>
      </c>
      <c r="I8" s="21" t="s">
        <v>93</v>
      </c>
      <c r="J8" s="21" t="s">
        <v>94</v>
      </c>
      <c r="K8" s="24" t="s">
        <v>16</v>
      </c>
      <c r="L8" s="4"/>
    </row>
    <row r="9" spans="1:12" ht="63.75" customHeight="1" thickBot="1" x14ac:dyDescent="0.35">
      <c r="A9" s="117">
        <v>4</v>
      </c>
      <c r="B9" s="118" t="s">
        <v>96</v>
      </c>
      <c r="C9" s="123" t="s">
        <v>555</v>
      </c>
      <c r="D9" s="21" t="s">
        <v>87</v>
      </c>
      <c r="E9" s="21" t="s">
        <v>35</v>
      </c>
      <c r="F9" s="24" t="s">
        <v>88</v>
      </c>
      <c r="G9" s="24" t="s">
        <v>14</v>
      </c>
      <c r="H9" s="24" t="s">
        <v>89</v>
      </c>
      <c r="I9" s="21" t="s">
        <v>97</v>
      </c>
      <c r="J9" s="21" t="s">
        <v>98</v>
      </c>
      <c r="K9" s="24" t="s">
        <v>16</v>
      </c>
      <c r="L9" s="4"/>
    </row>
    <row r="10" spans="1:12" ht="61.5" customHeight="1" thickBot="1" x14ac:dyDescent="0.35">
      <c r="A10" s="117">
        <v>5</v>
      </c>
      <c r="B10" s="118" t="s">
        <v>99</v>
      </c>
      <c r="C10" s="119" t="s">
        <v>556</v>
      </c>
      <c r="D10" s="21" t="s">
        <v>87</v>
      </c>
      <c r="E10" s="21" t="s">
        <v>35</v>
      </c>
      <c r="F10" s="24" t="s">
        <v>88</v>
      </c>
      <c r="G10" s="24" t="s">
        <v>14</v>
      </c>
      <c r="H10" s="24" t="s">
        <v>89</v>
      </c>
      <c r="I10" s="21" t="s">
        <v>97</v>
      </c>
      <c r="J10" s="21" t="s">
        <v>98</v>
      </c>
      <c r="K10" s="24" t="s">
        <v>16</v>
      </c>
      <c r="L10" s="4"/>
    </row>
    <row r="11" spans="1:12" ht="61.5" customHeight="1" thickBot="1" x14ac:dyDescent="0.35">
      <c r="A11" s="117">
        <v>6</v>
      </c>
      <c r="B11" s="118" t="s">
        <v>100</v>
      </c>
      <c r="C11" s="119" t="s">
        <v>557</v>
      </c>
      <c r="D11" s="21" t="s">
        <v>87</v>
      </c>
      <c r="E11" s="21" t="s">
        <v>12</v>
      </c>
      <c r="F11" s="24" t="s">
        <v>88</v>
      </c>
      <c r="G11" s="24" t="s">
        <v>14</v>
      </c>
      <c r="H11" s="24" t="s">
        <v>89</v>
      </c>
      <c r="I11" s="21" t="s">
        <v>97</v>
      </c>
      <c r="J11" s="21" t="s">
        <v>98</v>
      </c>
      <c r="K11" s="24" t="s">
        <v>16</v>
      </c>
      <c r="L11" s="4"/>
    </row>
    <row r="12" spans="1:12" ht="61.5" customHeight="1" thickBot="1" x14ac:dyDescent="0.35">
      <c r="A12" s="117">
        <v>7</v>
      </c>
      <c r="B12" s="118" t="s">
        <v>101</v>
      </c>
      <c r="C12" s="119" t="s">
        <v>558</v>
      </c>
      <c r="D12" s="21" t="s">
        <v>87</v>
      </c>
      <c r="E12" s="21" t="s">
        <v>12</v>
      </c>
      <c r="F12" s="24" t="s">
        <v>88</v>
      </c>
      <c r="G12" s="24" t="s">
        <v>14</v>
      </c>
      <c r="H12" s="24" t="s">
        <v>89</v>
      </c>
      <c r="I12" s="21" t="s">
        <v>97</v>
      </c>
      <c r="J12" s="21" t="s">
        <v>98</v>
      </c>
      <c r="K12" s="24" t="s">
        <v>16</v>
      </c>
      <c r="L12" s="4"/>
    </row>
    <row r="13" spans="1:12" ht="61.5" customHeight="1" thickBot="1" x14ac:dyDescent="0.35">
      <c r="A13" s="117">
        <v>8</v>
      </c>
      <c r="B13" s="118" t="s">
        <v>102</v>
      </c>
      <c r="C13" s="119" t="s">
        <v>559</v>
      </c>
      <c r="D13" s="21" t="s">
        <v>87</v>
      </c>
      <c r="E13" s="21" t="s">
        <v>35</v>
      </c>
      <c r="F13" s="24" t="s">
        <v>88</v>
      </c>
      <c r="G13" s="24" t="s">
        <v>14</v>
      </c>
      <c r="H13" s="24" t="s">
        <v>89</v>
      </c>
      <c r="I13" s="21" t="s">
        <v>103</v>
      </c>
      <c r="J13" s="21" t="s">
        <v>98</v>
      </c>
      <c r="K13" s="24" t="s">
        <v>16</v>
      </c>
      <c r="L13" s="4"/>
    </row>
    <row r="14" spans="1:12" ht="61.5" customHeight="1" thickBot="1" x14ac:dyDescent="0.35">
      <c r="A14" s="117">
        <v>9</v>
      </c>
      <c r="B14" s="118" t="s">
        <v>104</v>
      </c>
      <c r="C14" s="119" t="s">
        <v>560</v>
      </c>
      <c r="D14" s="21" t="s">
        <v>87</v>
      </c>
      <c r="E14" s="21" t="s">
        <v>35</v>
      </c>
      <c r="F14" s="24" t="s">
        <v>88</v>
      </c>
      <c r="G14" s="24" t="s">
        <v>14</v>
      </c>
      <c r="H14" s="24" t="s">
        <v>89</v>
      </c>
      <c r="I14" s="21" t="s">
        <v>103</v>
      </c>
      <c r="J14" s="21" t="s">
        <v>98</v>
      </c>
      <c r="K14" s="24" t="s">
        <v>16</v>
      </c>
      <c r="L14" s="4"/>
    </row>
    <row r="15" spans="1:12" ht="61.5" customHeight="1" thickBot="1" x14ac:dyDescent="0.35">
      <c r="A15" s="117">
        <v>10</v>
      </c>
      <c r="B15" s="120" t="s">
        <v>105</v>
      </c>
      <c r="C15" s="121" t="s">
        <v>561</v>
      </c>
      <c r="D15" s="21" t="s">
        <v>106</v>
      </c>
      <c r="E15" s="21" t="s">
        <v>12</v>
      </c>
      <c r="F15" s="24" t="s">
        <v>23</v>
      </c>
      <c r="G15" s="24" t="s">
        <v>18</v>
      </c>
      <c r="H15" s="24" t="s">
        <v>108</v>
      </c>
      <c r="I15" s="21" t="s">
        <v>103</v>
      </c>
      <c r="J15" s="21" t="s">
        <v>98</v>
      </c>
      <c r="K15" s="24" t="s">
        <v>16</v>
      </c>
      <c r="L15" s="4"/>
    </row>
    <row r="16" spans="1:12" ht="30" customHeight="1" thickBot="1" x14ac:dyDescent="0.35">
      <c r="A16" s="117">
        <v>11</v>
      </c>
      <c r="B16" s="118" t="s">
        <v>109</v>
      </c>
      <c r="C16" s="119" t="s">
        <v>562</v>
      </c>
      <c r="D16" s="21" t="s">
        <v>106</v>
      </c>
      <c r="E16" s="21" t="s">
        <v>12</v>
      </c>
      <c r="F16" s="24" t="s">
        <v>110</v>
      </c>
      <c r="G16" s="24" t="s">
        <v>14</v>
      </c>
      <c r="H16" s="24" t="s">
        <v>89</v>
      </c>
      <c r="I16" s="21" t="s">
        <v>111</v>
      </c>
      <c r="J16" s="21" t="s">
        <v>112</v>
      </c>
      <c r="K16" s="24" t="s">
        <v>16</v>
      </c>
      <c r="L16" s="4"/>
    </row>
    <row r="17" spans="1:12" ht="59.25" customHeight="1" thickBot="1" x14ac:dyDescent="0.35">
      <c r="A17" s="117">
        <v>12</v>
      </c>
      <c r="B17" s="118" t="s">
        <v>113</v>
      </c>
      <c r="C17" s="119" t="s">
        <v>563</v>
      </c>
      <c r="D17" s="21" t="s">
        <v>106</v>
      </c>
      <c r="E17" s="21" t="s">
        <v>12</v>
      </c>
      <c r="F17" s="24" t="s">
        <v>23</v>
      </c>
      <c r="G17" s="24" t="s">
        <v>18</v>
      </c>
      <c r="H17" s="24" t="s">
        <v>108</v>
      </c>
      <c r="I17" s="21" t="s">
        <v>111</v>
      </c>
      <c r="J17" s="21" t="s">
        <v>114</v>
      </c>
      <c r="K17" s="24" t="s">
        <v>16</v>
      </c>
      <c r="L17" s="4"/>
    </row>
    <row r="18" spans="1:12" ht="65.25" customHeight="1" thickBot="1" x14ac:dyDescent="0.35">
      <c r="A18" s="117">
        <v>13</v>
      </c>
      <c r="B18" s="118" t="s">
        <v>115</v>
      </c>
      <c r="C18" s="119" t="s">
        <v>564</v>
      </c>
      <c r="D18" s="21" t="s">
        <v>106</v>
      </c>
      <c r="E18" s="21" t="s">
        <v>12</v>
      </c>
      <c r="F18" s="24" t="s">
        <v>23</v>
      </c>
      <c r="G18" s="24" t="s">
        <v>14</v>
      </c>
      <c r="H18" s="24" t="s">
        <v>108</v>
      </c>
      <c r="I18" s="21" t="s">
        <v>111</v>
      </c>
      <c r="J18" s="21" t="s">
        <v>114</v>
      </c>
      <c r="K18" s="24" t="s">
        <v>16</v>
      </c>
      <c r="L18" s="4"/>
    </row>
    <row r="19" spans="1:12" ht="34.799999999999997" thickBot="1" x14ac:dyDescent="0.35">
      <c r="A19" s="117">
        <v>14</v>
      </c>
      <c r="B19" s="118" t="s">
        <v>116</v>
      </c>
      <c r="C19" s="119" t="s">
        <v>565</v>
      </c>
      <c r="D19" s="21" t="s">
        <v>106</v>
      </c>
      <c r="E19" s="21" t="s">
        <v>12</v>
      </c>
      <c r="F19" s="24" t="s">
        <v>117</v>
      </c>
      <c r="G19" s="24" t="s">
        <v>14</v>
      </c>
      <c r="H19" s="24" t="s">
        <v>89</v>
      </c>
      <c r="I19" s="21" t="s">
        <v>118</v>
      </c>
      <c r="J19" s="21" t="s">
        <v>119</v>
      </c>
      <c r="K19" s="24" t="s">
        <v>16</v>
      </c>
      <c r="L19" s="4"/>
    </row>
    <row r="20" spans="1:12" ht="34.5" customHeight="1" thickBot="1" x14ac:dyDescent="0.35">
      <c r="A20" s="117">
        <v>15</v>
      </c>
      <c r="B20" s="118" t="s">
        <v>120</v>
      </c>
      <c r="C20" s="119" t="s">
        <v>566</v>
      </c>
      <c r="D20" s="21" t="s">
        <v>106</v>
      </c>
      <c r="E20" s="21" t="s">
        <v>12</v>
      </c>
      <c r="F20" s="24" t="s">
        <v>23</v>
      </c>
      <c r="G20" s="24" t="s">
        <v>18</v>
      </c>
      <c r="H20" s="24" t="s">
        <v>108</v>
      </c>
      <c r="I20" s="21" t="s">
        <v>118</v>
      </c>
      <c r="J20" s="21" t="s">
        <v>121</v>
      </c>
      <c r="K20" s="24" t="s">
        <v>16</v>
      </c>
      <c r="L20" s="4"/>
    </row>
    <row r="21" spans="1:12" ht="34.5" customHeight="1" thickBot="1" x14ac:dyDescent="0.35">
      <c r="A21" s="117">
        <v>16</v>
      </c>
      <c r="B21" s="118" t="s">
        <v>122</v>
      </c>
      <c r="C21" s="119" t="s">
        <v>567</v>
      </c>
      <c r="D21" s="21" t="s">
        <v>106</v>
      </c>
      <c r="E21" s="21" t="s">
        <v>35</v>
      </c>
      <c r="F21" s="24" t="s">
        <v>23</v>
      </c>
      <c r="G21" s="24" t="s">
        <v>14</v>
      </c>
      <c r="H21" s="24" t="s">
        <v>108</v>
      </c>
      <c r="I21" s="21" t="s">
        <v>118</v>
      </c>
      <c r="J21" s="21" t="s">
        <v>121</v>
      </c>
      <c r="K21" s="24" t="s">
        <v>16</v>
      </c>
      <c r="L21" s="4"/>
    </row>
    <row r="22" spans="1:12" ht="34.5" customHeight="1" thickBot="1" x14ac:dyDescent="0.35">
      <c r="A22" s="117">
        <v>17</v>
      </c>
      <c r="B22" s="118" t="s">
        <v>123</v>
      </c>
      <c r="C22" s="119" t="s">
        <v>568</v>
      </c>
      <c r="D22" s="21" t="s">
        <v>106</v>
      </c>
      <c r="E22" s="21" t="s">
        <v>12</v>
      </c>
      <c r="F22" s="24" t="s">
        <v>23</v>
      </c>
      <c r="G22" s="24" t="s">
        <v>14</v>
      </c>
      <c r="H22" s="24" t="s">
        <v>108</v>
      </c>
      <c r="I22" s="21" t="s">
        <v>118</v>
      </c>
      <c r="J22" s="21" t="s">
        <v>121</v>
      </c>
      <c r="K22" s="24" t="s">
        <v>16</v>
      </c>
      <c r="L22" s="4"/>
    </row>
    <row r="23" spans="1:12" ht="34.5" customHeight="1" thickBot="1" x14ac:dyDescent="0.35">
      <c r="A23" s="117">
        <v>18</v>
      </c>
      <c r="B23" s="118" t="s">
        <v>124</v>
      </c>
      <c r="C23" s="119" t="s">
        <v>569</v>
      </c>
      <c r="D23" s="21" t="s">
        <v>106</v>
      </c>
      <c r="E23" s="21" t="s">
        <v>12</v>
      </c>
      <c r="F23" s="24" t="s">
        <v>107</v>
      </c>
      <c r="G23" s="24" t="s">
        <v>14</v>
      </c>
      <c r="H23" s="24" t="s">
        <v>108</v>
      </c>
      <c r="I23" s="21" t="s">
        <v>118</v>
      </c>
      <c r="J23" s="21" t="s">
        <v>121</v>
      </c>
      <c r="K23" s="24" t="s">
        <v>16</v>
      </c>
      <c r="L23" s="4"/>
    </row>
    <row r="24" spans="1:12" ht="34.5" customHeight="1" thickBot="1" x14ac:dyDescent="0.35">
      <c r="A24" s="117">
        <v>19</v>
      </c>
      <c r="B24" s="118" t="s">
        <v>125</v>
      </c>
      <c r="C24" s="119" t="s">
        <v>570</v>
      </c>
      <c r="D24" s="21" t="s">
        <v>106</v>
      </c>
      <c r="E24" s="21" t="s">
        <v>35</v>
      </c>
      <c r="F24" s="24" t="s">
        <v>23</v>
      </c>
      <c r="G24" s="24" t="s">
        <v>14</v>
      </c>
      <c r="H24" s="24" t="s">
        <v>108</v>
      </c>
      <c r="I24" s="21" t="s">
        <v>118</v>
      </c>
      <c r="J24" s="21" t="s">
        <v>121</v>
      </c>
      <c r="K24" s="24" t="s">
        <v>16</v>
      </c>
      <c r="L24" s="4"/>
    </row>
    <row r="25" spans="1:12" ht="34.5" customHeight="1" thickBot="1" x14ac:dyDescent="0.35">
      <c r="A25" s="117">
        <v>20</v>
      </c>
      <c r="B25" s="118" t="s">
        <v>126</v>
      </c>
      <c r="C25" s="119" t="s">
        <v>571</v>
      </c>
      <c r="D25" s="21" t="s">
        <v>106</v>
      </c>
      <c r="E25" s="21" t="s">
        <v>12</v>
      </c>
      <c r="F25" s="24" t="s">
        <v>107</v>
      </c>
      <c r="G25" s="24" t="s">
        <v>14</v>
      </c>
      <c r="H25" s="24" t="s">
        <v>108</v>
      </c>
      <c r="I25" s="21" t="s">
        <v>118</v>
      </c>
      <c r="J25" s="21" t="s">
        <v>121</v>
      </c>
      <c r="K25" s="24" t="s">
        <v>16</v>
      </c>
      <c r="L25" s="4"/>
    </row>
    <row r="26" spans="1:12" ht="34.5" customHeight="1" thickBot="1" x14ac:dyDescent="0.35">
      <c r="A26" s="117">
        <v>21</v>
      </c>
      <c r="B26" s="118" t="s">
        <v>127</v>
      </c>
      <c r="C26" s="119" t="s">
        <v>572</v>
      </c>
      <c r="D26" s="21" t="s">
        <v>106</v>
      </c>
      <c r="E26" s="21" t="s">
        <v>35</v>
      </c>
      <c r="F26" s="24" t="s">
        <v>29</v>
      </c>
      <c r="G26" s="24" t="s">
        <v>14</v>
      </c>
      <c r="H26" s="24" t="s">
        <v>135</v>
      </c>
      <c r="I26" s="21" t="s">
        <v>118</v>
      </c>
      <c r="J26" s="21" t="s">
        <v>128</v>
      </c>
      <c r="K26" s="24" t="s">
        <v>16</v>
      </c>
      <c r="L26" s="4"/>
    </row>
    <row r="27" spans="1:12" ht="34.5" customHeight="1" thickBot="1" x14ac:dyDescent="0.35">
      <c r="A27" s="117">
        <v>22</v>
      </c>
      <c r="B27" s="118" t="s">
        <v>129</v>
      </c>
      <c r="C27" s="119" t="s">
        <v>547</v>
      </c>
      <c r="D27" s="21" t="s">
        <v>106</v>
      </c>
      <c r="E27" s="21" t="s">
        <v>12</v>
      </c>
      <c r="F27" s="24" t="s">
        <v>23</v>
      </c>
      <c r="G27" s="24" t="s">
        <v>14</v>
      </c>
      <c r="H27" s="24" t="s">
        <v>135</v>
      </c>
      <c r="I27" s="21" t="s">
        <v>118</v>
      </c>
      <c r="J27" s="21" t="s">
        <v>128</v>
      </c>
      <c r="K27" s="24" t="s">
        <v>16</v>
      </c>
      <c r="L27" s="4"/>
    </row>
    <row r="28" spans="1:12" ht="34.5" customHeight="1" thickBot="1" x14ac:dyDescent="0.35">
      <c r="A28" s="117">
        <v>23</v>
      </c>
      <c r="B28" s="118" t="s">
        <v>130</v>
      </c>
      <c r="C28" s="119" t="s">
        <v>573</v>
      </c>
      <c r="D28" s="21" t="s">
        <v>106</v>
      </c>
      <c r="E28" s="21" t="s">
        <v>35</v>
      </c>
      <c r="F28" s="24" t="s">
        <v>107</v>
      </c>
      <c r="G28" s="24" t="s">
        <v>14</v>
      </c>
      <c r="H28" s="24" t="s">
        <v>89</v>
      </c>
      <c r="I28" s="21" t="s">
        <v>118</v>
      </c>
      <c r="J28" s="21" t="s">
        <v>128</v>
      </c>
      <c r="K28" s="24" t="s">
        <v>16</v>
      </c>
      <c r="L28" s="4"/>
    </row>
    <row r="29" spans="1:12" ht="34.5" customHeight="1" thickBot="1" x14ac:dyDescent="0.35">
      <c r="A29" s="117">
        <v>24</v>
      </c>
      <c r="B29" s="118" t="s">
        <v>131</v>
      </c>
      <c r="C29" s="119" t="s">
        <v>574</v>
      </c>
      <c r="D29" s="21" t="s">
        <v>106</v>
      </c>
      <c r="E29" s="21" t="s">
        <v>12</v>
      </c>
      <c r="F29" s="24" t="s">
        <v>107</v>
      </c>
      <c r="G29" s="24" t="s">
        <v>14</v>
      </c>
      <c r="H29" s="24" t="s">
        <v>89</v>
      </c>
      <c r="I29" s="21" t="s">
        <v>118</v>
      </c>
      <c r="J29" s="21" t="s">
        <v>128</v>
      </c>
      <c r="K29" s="24" t="s">
        <v>16</v>
      </c>
      <c r="L29" s="4"/>
    </row>
    <row r="30" spans="1:12" ht="34.5" customHeight="1" thickBot="1" x14ac:dyDescent="0.35">
      <c r="A30" s="117">
        <v>25</v>
      </c>
      <c r="B30" s="118" t="s">
        <v>132</v>
      </c>
      <c r="C30" s="119" t="s">
        <v>546</v>
      </c>
      <c r="D30" s="21" t="s">
        <v>106</v>
      </c>
      <c r="E30" s="21" t="s">
        <v>12</v>
      </c>
      <c r="F30" s="24" t="s">
        <v>107</v>
      </c>
      <c r="G30" s="24" t="s">
        <v>14</v>
      </c>
      <c r="H30" s="24" t="s">
        <v>89</v>
      </c>
      <c r="I30" s="21" t="s">
        <v>118</v>
      </c>
      <c r="J30" s="21" t="s">
        <v>128</v>
      </c>
      <c r="K30" s="24" t="s">
        <v>16</v>
      </c>
      <c r="L30" s="4"/>
    </row>
    <row r="31" spans="1:12" ht="34.5" customHeight="1" thickBot="1" x14ac:dyDescent="0.35">
      <c r="A31" s="117">
        <v>26</v>
      </c>
      <c r="B31" s="118" t="s">
        <v>133</v>
      </c>
      <c r="C31" s="119" t="s">
        <v>575</v>
      </c>
      <c r="D31" s="21" t="s">
        <v>106</v>
      </c>
      <c r="E31" s="21" t="s">
        <v>12</v>
      </c>
      <c r="F31" s="24" t="s">
        <v>107</v>
      </c>
      <c r="G31" s="24" t="s">
        <v>14</v>
      </c>
      <c r="H31" s="24" t="s">
        <v>89</v>
      </c>
      <c r="I31" s="21" t="s">
        <v>118</v>
      </c>
      <c r="J31" s="21" t="s">
        <v>128</v>
      </c>
      <c r="K31" s="24" t="s">
        <v>16</v>
      </c>
      <c r="L31" s="4"/>
    </row>
    <row r="32" spans="1:12" ht="34.5" customHeight="1" thickBot="1" x14ac:dyDescent="0.35">
      <c r="A32" s="117">
        <v>27</v>
      </c>
      <c r="B32" s="118" t="s">
        <v>134</v>
      </c>
      <c r="C32" s="119" t="s">
        <v>576</v>
      </c>
      <c r="D32" s="21" t="s">
        <v>106</v>
      </c>
      <c r="E32" s="21" t="s">
        <v>35</v>
      </c>
      <c r="F32" s="24" t="s">
        <v>13</v>
      </c>
      <c r="G32" s="24" t="s">
        <v>14</v>
      </c>
      <c r="H32" s="24" t="s">
        <v>135</v>
      </c>
      <c r="I32" s="21" t="s">
        <v>118</v>
      </c>
      <c r="J32" s="21" t="s">
        <v>128</v>
      </c>
      <c r="K32" s="24" t="s">
        <v>16</v>
      </c>
      <c r="L32" s="4"/>
    </row>
    <row r="33" spans="1:12" ht="34.799999999999997" thickBot="1" x14ac:dyDescent="0.35">
      <c r="A33" s="117">
        <v>28</v>
      </c>
      <c r="B33" s="118" t="s">
        <v>136</v>
      </c>
      <c r="C33" s="119" t="s">
        <v>577</v>
      </c>
      <c r="D33" s="21" t="s">
        <v>106</v>
      </c>
      <c r="E33" s="21" t="s">
        <v>12</v>
      </c>
      <c r="F33" s="24" t="s">
        <v>13</v>
      </c>
      <c r="G33" s="24" t="s">
        <v>14</v>
      </c>
      <c r="H33" s="24" t="s">
        <v>135</v>
      </c>
      <c r="I33" s="21" t="s">
        <v>118</v>
      </c>
      <c r="J33" s="21" t="s">
        <v>128</v>
      </c>
      <c r="K33" s="24" t="s">
        <v>16</v>
      </c>
      <c r="L33" s="4"/>
    </row>
    <row r="34" spans="1:12" ht="34.799999999999997" thickBot="1" x14ac:dyDescent="0.35">
      <c r="A34" s="117">
        <v>29</v>
      </c>
      <c r="B34" s="118" t="s">
        <v>137</v>
      </c>
      <c r="C34" s="119" t="s">
        <v>548</v>
      </c>
      <c r="D34" s="21" t="s">
        <v>106</v>
      </c>
      <c r="E34" s="21" t="s">
        <v>35</v>
      </c>
      <c r="F34" s="24" t="s">
        <v>13</v>
      </c>
      <c r="G34" s="24" t="s">
        <v>18</v>
      </c>
      <c r="H34" s="24" t="s">
        <v>135</v>
      </c>
      <c r="I34" s="21" t="s">
        <v>118</v>
      </c>
      <c r="J34" s="21" t="s">
        <v>128</v>
      </c>
      <c r="K34" s="24" t="s">
        <v>16</v>
      </c>
      <c r="L34" s="4"/>
    </row>
    <row r="35" spans="1:12" ht="34.799999999999997" thickBot="1" x14ac:dyDescent="0.35">
      <c r="A35" s="117">
        <v>30</v>
      </c>
      <c r="B35" s="118" t="s">
        <v>138</v>
      </c>
      <c r="C35" s="119" t="s">
        <v>578</v>
      </c>
      <c r="D35" s="21" t="s">
        <v>106</v>
      </c>
      <c r="E35" s="21" t="s">
        <v>35</v>
      </c>
      <c r="F35" s="24" t="s">
        <v>29</v>
      </c>
      <c r="G35" s="24" t="s">
        <v>14</v>
      </c>
      <c r="H35" s="24" t="s">
        <v>135</v>
      </c>
      <c r="I35" s="21" t="s">
        <v>118</v>
      </c>
      <c r="J35" s="21" t="s">
        <v>119</v>
      </c>
      <c r="K35" s="24" t="s">
        <v>16</v>
      </c>
      <c r="L35" s="4"/>
    </row>
    <row r="36" spans="1:12" ht="63" customHeight="1" thickBot="1" x14ac:dyDescent="0.35">
      <c r="A36" s="117">
        <v>31</v>
      </c>
      <c r="B36" s="118" t="s">
        <v>140</v>
      </c>
      <c r="C36" s="119" t="s">
        <v>579</v>
      </c>
      <c r="D36" s="21" t="s">
        <v>106</v>
      </c>
      <c r="E36" s="21" t="s">
        <v>12</v>
      </c>
      <c r="F36" s="24" t="s">
        <v>29</v>
      </c>
      <c r="G36" s="24" t="s">
        <v>14</v>
      </c>
      <c r="H36" s="24" t="s">
        <v>135</v>
      </c>
      <c r="I36" s="21" t="s">
        <v>118</v>
      </c>
      <c r="J36" s="21" t="s">
        <v>114</v>
      </c>
      <c r="K36" s="24" t="s">
        <v>16</v>
      </c>
      <c r="L36" s="4"/>
    </row>
    <row r="37" spans="1:12" ht="58.5" customHeight="1" thickBot="1" x14ac:dyDescent="0.35">
      <c r="A37" s="117">
        <v>32</v>
      </c>
      <c r="B37" s="120" t="s">
        <v>141</v>
      </c>
      <c r="C37" s="121" t="s">
        <v>142</v>
      </c>
      <c r="D37" s="21" t="s">
        <v>106</v>
      </c>
      <c r="E37" s="21" t="s">
        <v>35</v>
      </c>
      <c r="F37" s="24" t="s">
        <v>29</v>
      </c>
      <c r="G37" s="24" t="s">
        <v>18</v>
      </c>
      <c r="H37" s="24" t="s">
        <v>135</v>
      </c>
      <c r="I37" s="21" t="s">
        <v>118</v>
      </c>
      <c r="J37" s="21" t="s">
        <v>114</v>
      </c>
      <c r="K37" s="24" t="s">
        <v>16</v>
      </c>
      <c r="L37" s="4"/>
    </row>
    <row r="38" spans="1:12" ht="36" customHeight="1" thickBot="1" x14ac:dyDescent="0.35">
      <c r="A38" s="117">
        <v>33</v>
      </c>
      <c r="B38" s="118" t="s">
        <v>143</v>
      </c>
      <c r="C38" s="119" t="s">
        <v>144</v>
      </c>
      <c r="D38" s="21" t="s">
        <v>106</v>
      </c>
      <c r="E38" s="21" t="s">
        <v>35</v>
      </c>
      <c r="F38" s="24" t="s">
        <v>29</v>
      </c>
      <c r="G38" s="24" t="s">
        <v>14</v>
      </c>
      <c r="H38" s="24" t="s">
        <v>135</v>
      </c>
      <c r="I38" s="21" t="s">
        <v>118</v>
      </c>
      <c r="J38" s="21" t="s">
        <v>121</v>
      </c>
      <c r="K38" s="24" t="s">
        <v>16</v>
      </c>
      <c r="L38" s="4"/>
    </row>
    <row r="39" spans="1:12" ht="42" customHeight="1" thickBot="1" x14ac:dyDescent="0.35">
      <c r="A39" s="117">
        <v>34</v>
      </c>
      <c r="B39" s="118" t="s">
        <v>145</v>
      </c>
      <c r="C39" s="119" t="s">
        <v>580</v>
      </c>
      <c r="D39" s="21" t="s">
        <v>106</v>
      </c>
      <c r="E39" s="21" t="s">
        <v>12</v>
      </c>
      <c r="F39" s="24" t="s">
        <v>29</v>
      </c>
      <c r="G39" s="24" t="s">
        <v>14</v>
      </c>
      <c r="H39" s="24" t="s">
        <v>135</v>
      </c>
      <c r="I39" s="21" t="s">
        <v>118</v>
      </c>
      <c r="J39" s="21" t="s">
        <v>121</v>
      </c>
      <c r="K39" s="24" t="s">
        <v>16</v>
      </c>
      <c r="L39" s="4"/>
    </row>
    <row r="40" spans="1:12" ht="38.25" customHeight="1" thickBot="1" x14ac:dyDescent="0.35">
      <c r="A40" s="117">
        <v>35</v>
      </c>
      <c r="B40" s="118" t="s">
        <v>146</v>
      </c>
      <c r="C40" s="119" t="s">
        <v>581</v>
      </c>
      <c r="D40" s="21" t="s">
        <v>106</v>
      </c>
      <c r="E40" s="21" t="s">
        <v>12</v>
      </c>
      <c r="F40" s="24" t="s">
        <v>29</v>
      </c>
      <c r="G40" s="24" t="s">
        <v>14</v>
      </c>
      <c r="H40" s="24" t="s">
        <v>135</v>
      </c>
      <c r="I40" s="21" t="s">
        <v>118</v>
      </c>
      <c r="J40" s="21" t="s">
        <v>128</v>
      </c>
      <c r="K40" s="24" t="s">
        <v>16</v>
      </c>
      <c r="L40" s="4"/>
    </row>
    <row r="41" spans="1:12" ht="33.75" customHeight="1" thickBot="1" x14ac:dyDescent="0.35">
      <c r="A41" s="117">
        <v>36</v>
      </c>
      <c r="B41" s="118" t="s">
        <v>147</v>
      </c>
      <c r="C41" s="119" t="s">
        <v>582</v>
      </c>
      <c r="D41" s="21" t="s">
        <v>106</v>
      </c>
      <c r="E41" s="21" t="s">
        <v>12</v>
      </c>
      <c r="F41" s="24" t="s">
        <v>29</v>
      </c>
      <c r="G41" s="24" t="s">
        <v>14</v>
      </c>
      <c r="H41" s="24" t="s">
        <v>135</v>
      </c>
      <c r="I41" s="21" t="s">
        <v>118</v>
      </c>
      <c r="J41" s="21" t="s">
        <v>128</v>
      </c>
      <c r="K41" s="24" t="s">
        <v>16</v>
      </c>
      <c r="L41" s="4"/>
    </row>
    <row r="42" spans="1:12" ht="61.5" customHeight="1" thickBot="1" x14ac:dyDescent="0.35">
      <c r="A42" s="117">
        <v>37</v>
      </c>
      <c r="B42" s="118" t="s">
        <v>150</v>
      </c>
      <c r="C42" s="119" t="s">
        <v>584</v>
      </c>
      <c r="D42" s="21" t="s">
        <v>106</v>
      </c>
      <c r="E42" s="21" t="s">
        <v>35</v>
      </c>
      <c r="F42" s="24" t="s">
        <v>23</v>
      </c>
      <c r="G42" s="24" t="s">
        <v>18</v>
      </c>
      <c r="H42" s="24" t="s">
        <v>108</v>
      </c>
      <c r="I42" s="21" t="s">
        <v>97</v>
      </c>
      <c r="J42" s="21" t="s">
        <v>98</v>
      </c>
      <c r="K42" s="24" t="s">
        <v>16</v>
      </c>
      <c r="L42" s="4"/>
    </row>
    <row r="43" spans="1:12" ht="54.75" customHeight="1" thickBot="1" x14ac:dyDescent="0.35">
      <c r="A43" s="117">
        <v>38</v>
      </c>
      <c r="B43" s="118" t="s">
        <v>154</v>
      </c>
      <c r="C43" s="119" t="s">
        <v>587</v>
      </c>
      <c r="D43" s="21" t="s">
        <v>106</v>
      </c>
      <c r="E43" s="21" t="s">
        <v>35</v>
      </c>
      <c r="F43" s="24" t="s">
        <v>29</v>
      </c>
      <c r="G43" s="24" t="s">
        <v>18</v>
      </c>
      <c r="H43" s="24" t="s">
        <v>108</v>
      </c>
      <c r="I43" s="21" t="s">
        <v>155</v>
      </c>
      <c r="J43" s="21" t="s">
        <v>156</v>
      </c>
      <c r="K43" s="24" t="s">
        <v>16</v>
      </c>
      <c r="L43" s="4"/>
    </row>
  </sheetData>
  <mergeCells count="1">
    <mergeCell ref="B1:L1"/>
  </mergeCells>
  <printOptions horizontalCentered="1"/>
  <pageMargins left="0.31496062992125984" right="0.31496062992125984" top="0.55118110236220474" bottom="0.55118110236220474" header="0.31496062992125984" footer="0.31496062992125984"/>
  <pageSetup paperSize="5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1E7B-E4C9-4223-B6E5-18333D0FB649}">
  <sheetPr codeName="Lembar1"/>
  <dimension ref="A1:L183"/>
  <sheetViews>
    <sheetView tabSelected="1" view="pageBreakPreview" topLeftCell="A100" zoomScale="85" zoomScaleNormal="90" zoomScaleSheetLayoutView="85" workbookViewId="0">
      <selection activeCell="C6" sqref="C6"/>
    </sheetView>
  </sheetViews>
  <sheetFormatPr defaultRowHeight="14.4" x14ac:dyDescent="0.3"/>
  <cols>
    <col min="1" max="1" width="6.44140625" customWidth="1"/>
    <col min="2" max="2" width="31.6640625" style="46" customWidth="1"/>
    <col min="3" max="3" width="20.33203125" style="47" customWidth="1"/>
    <col min="4" max="4" width="9.44140625" customWidth="1"/>
    <col min="5" max="5" width="9.6640625" customWidth="1"/>
    <col min="6" max="6" width="11.88671875" customWidth="1"/>
    <col min="7" max="7" width="12" customWidth="1"/>
    <col min="8" max="8" width="9.44140625" customWidth="1"/>
    <col min="9" max="9" width="28.88671875" customWidth="1"/>
    <col min="10" max="10" width="58.5546875" style="23" customWidth="1"/>
    <col min="11" max="11" width="28.44140625" customWidth="1"/>
  </cols>
  <sheetData>
    <row r="1" spans="1:12" ht="16.5" customHeight="1" thickBot="1" x14ac:dyDescent="0.35">
      <c r="B1" s="229" t="s">
        <v>158</v>
      </c>
      <c r="C1" s="230"/>
      <c r="D1" s="230"/>
      <c r="E1" s="230"/>
      <c r="F1" s="230"/>
      <c r="G1" s="230"/>
      <c r="H1" s="230"/>
      <c r="I1" s="230"/>
      <c r="J1" s="230"/>
      <c r="K1" s="230"/>
      <c r="L1" s="231"/>
    </row>
    <row r="2" spans="1:12" ht="15" thickBot="1" x14ac:dyDescent="0.35">
      <c r="B2" s="6"/>
      <c r="C2" s="43"/>
      <c r="D2" s="6"/>
      <c r="E2" s="6"/>
      <c r="F2" s="6"/>
      <c r="G2" s="6"/>
      <c r="H2" s="6"/>
      <c r="I2" s="6"/>
      <c r="J2" s="19"/>
      <c r="K2" s="6"/>
      <c r="L2" s="6"/>
    </row>
    <row r="3" spans="1:12" ht="16.2" thickBot="1" x14ac:dyDescent="0.35">
      <c r="B3" s="5" t="s">
        <v>16</v>
      </c>
      <c r="C3" s="43"/>
      <c r="D3" s="6"/>
      <c r="E3" s="6"/>
      <c r="F3" s="6"/>
      <c r="G3" s="6"/>
      <c r="H3" s="6"/>
      <c r="I3" s="6"/>
      <c r="J3" s="19"/>
      <c r="K3" s="6"/>
      <c r="L3" s="6"/>
    </row>
    <row r="4" spans="1:12" ht="15" thickBot="1" x14ac:dyDescent="0.35">
      <c r="A4" s="7"/>
      <c r="B4" s="44"/>
      <c r="C4" s="42"/>
      <c r="D4" s="7"/>
      <c r="E4" s="7"/>
      <c r="F4" s="7"/>
      <c r="G4" s="7"/>
      <c r="H4" s="7"/>
      <c r="I4" s="7"/>
      <c r="J4" s="20"/>
      <c r="K4" s="7"/>
      <c r="L4" s="7"/>
    </row>
    <row r="5" spans="1:12" ht="27" thickBot="1" x14ac:dyDescent="0.35">
      <c r="A5" s="26" t="s">
        <v>0</v>
      </c>
      <c r="B5" s="27" t="s">
        <v>81</v>
      </c>
      <c r="C5" s="27" t="s">
        <v>1</v>
      </c>
      <c r="D5" s="27" t="s">
        <v>82</v>
      </c>
      <c r="E5" s="27" t="s">
        <v>2</v>
      </c>
      <c r="F5" s="27" t="s">
        <v>3</v>
      </c>
      <c r="G5" s="27" t="s">
        <v>4</v>
      </c>
      <c r="H5" s="27" t="s">
        <v>159</v>
      </c>
      <c r="I5" s="27" t="s">
        <v>6</v>
      </c>
      <c r="J5" s="27" t="s">
        <v>84</v>
      </c>
      <c r="K5" s="27" t="s">
        <v>8</v>
      </c>
      <c r="L5" s="27" t="s">
        <v>85</v>
      </c>
    </row>
    <row r="6" spans="1:12" s="16" customFormat="1" ht="31.5" customHeight="1" thickBot="1" x14ac:dyDescent="0.35">
      <c r="A6" s="13">
        <v>1</v>
      </c>
      <c r="B6" s="45" t="s">
        <v>160</v>
      </c>
      <c r="C6" s="38" t="s">
        <v>521</v>
      </c>
      <c r="D6" s="15" t="s">
        <v>106</v>
      </c>
      <c r="E6" s="15" t="s">
        <v>12</v>
      </c>
      <c r="F6" s="15" t="s">
        <v>23</v>
      </c>
      <c r="G6" s="15" t="s">
        <v>14</v>
      </c>
      <c r="H6" s="15">
        <v>7</v>
      </c>
      <c r="I6" s="14" t="s">
        <v>161</v>
      </c>
      <c r="J6" s="14" t="s">
        <v>91</v>
      </c>
      <c r="K6" s="15" t="s">
        <v>16</v>
      </c>
      <c r="L6" s="2"/>
    </row>
    <row r="7" spans="1:12" s="16" customFormat="1" ht="31.5" customHeight="1" thickBot="1" x14ac:dyDescent="0.35">
      <c r="A7" s="13">
        <v>2</v>
      </c>
      <c r="B7" s="45" t="s">
        <v>162</v>
      </c>
      <c r="C7" s="38" t="s">
        <v>522</v>
      </c>
      <c r="D7" s="15" t="s">
        <v>106</v>
      </c>
      <c r="E7" s="15" t="s">
        <v>12</v>
      </c>
      <c r="F7" s="15" t="s">
        <v>23</v>
      </c>
      <c r="G7" s="15" t="s">
        <v>14</v>
      </c>
      <c r="H7" s="15">
        <v>7</v>
      </c>
      <c r="I7" s="14" t="s">
        <v>161</v>
      </c>
      <c r="J7" s="14" t="s">
        <v>91</v>
      </c>
      <c r="K7" s="15" t="s">
        <v>16</v>
      </c>
      <c r="L7" s="2"/>
    </row>
    <row r="8" spans="1:12" s="16" customFormat="1" ht="31.5" customHeight="1" thickBot="1" x14ac:dyDescent="0.35">
      <c r="A8" s="13">
        <v>3</v>
      </c>
      <c r="B8" s="45" t="s">
        <v>163</v>
      </c>
      <c r="C8" s="38" t="s">
        <v>523</v>
      </c>
      <c r="D8" s="15" t="s">
        <v>106</v>
      </c>
      <c r="E8" s="15" t="s">
        <v>12</v>
      </c>
      <c r="F8" s="15" t="s">
        <v>117</v>
      </c>
      <c r="G8" s="15" t="s">
        <v>164</v>
      </c>
      <c r="H8" s="15">
        <v>6</v>
      </c>
      <c r="I8" s="14" t="s">
        <v>165</v>
      </c>
      <c r="J8" s="14" t="s">
        <v>91</v>
      </c>
      <c r="K8" s="15" t="s">
        <v>16</v>
      </c>
      <c r="L8" s="2"/>
    </row>
    <row r="9" spans="1:12" s="16" customFormat="1" ht="31.5" customHeight="1" thickBot="1" x14ac:dyDescent="0.35">
      <c r="A9" s="13">
        <v>4</v>
      </c>
      <c r="B9" s="45" t="s">
        <v>166</v>
      </c>
      <c r="C9" s="38" t="s">
        <v>765</v>
      </c>
      <c r="D9" s="15" t="s">
        <v>106</v>
      </c>
      <c r="E9" s="15" t="s">
        <v>12</v>
      </c>
      <c r="F9" s="15" t="s">
        <v>110</v>
      </c>
      <c r="G9" s="15" t="s">
        <v>14</v>
      </c>
      <c r="H9" s="15">
        <v>7</v>
      </c>
      <c r="I9" s="14" t="s">
        <v>167</v>
      </c>
      <c r="J9" s="14" t="s">
        <v>91</v>
      </c>
      <c r="K9" s="15" t="s">
        <v>16</v>
      </c>
      <c r="L9" s="15" t="s">
        <v>168</v>
      </c>
    </row>
    <row r="10" spans="1:12" s="16" customFormat="1" ht="31.5" customHeight="1" thickBot="1" x14ac:dyDescent="0.35">
      <c r="A10" s="13">
        <v>5</v>
      </c>
      <c r="B10" s="45" t="s">
        <v>169</v>
      </c>
      <c r="C10" s="38" t="s">
        <v>524</v>
      </c>
      <c r="D10" s="15" t="s">
        <v>106</v>
      </c>
      <c r="E10" s="15" t="s">
        <v>35</v>
      </c>
      <c r="F10" s="15" t="s">
        <v>23</v>
      </c>
      <c r="G10" s="15" t="s">
        <v>14</v>
      </c>
      <c r="H10" s="15">
        <v>7</v>
      </c>
      <c r="I10" s="14" t="s">
        <v>161</v>
      </c>
      <c r="J10" s="14" t="s">
        <v>170</v>
      </c>
      <c r="K10" s="15" t="s">
        <v>16</v>
      </c>
      <c r="L10" s="2"/>
    </row>
    <row r="11" spans="1:12" s="16" customFormat="1" ht="31.5" customHeight="1" thickBot="1" x14ac:dyDescent="0.35">
      <c r="A11" s="13">
        <v>6</v>
      </c>
      <c r="B11" s="45" t="s">
        <v>171</v>
      </c>
      <c r="C11" s="38" t="s">
        <v>525</v>
      </c>
      <c r="D11" s="15" t="s">
        <v>106</v>
      </c>
      <c r="E11" s="15" t="s">
        <v>35</v>
      </c>
      <c r="F11" s="15" t="s">
        <v>29</v>
      </c>
      <c r="G11" s="15" t="s">
        <v>18</v>
      </c>
      <c r="H11" s="15">
        <v>7</v>
      </c>
      <c r="I11" s="14" t="s">
        <v>161</v>
      </c>
      <c r="J11" s="14" t="s">
        <v>170</v>
      </c>
      <c r="K11" s="15" t="s">
        <v>16</v>
      </c>
      <c r="L11" s="2"/>
    </row>
    <row r="12" spans="1:12" s="16" customFormat="1" ht="31.5" customHeight="1" thickBot="1" x14ac:dyDescent="0.35">
      <c r="A12" s="13">
        <v>7</v>
      </c>
      <c r="B12" s="45" t="s">
        <v>172</v>
      </c>
      <c r="C12" s="38" t="s">
        <v>526</v>
      </c>
      <c r="D12" s="15" t="s">
        <v>106</v>
      </c>
      <c r="E12" s="15" t="s">
        <v>35</v>
      </c>
      <c r="F12" s="15" t="s">
        <v>23</v>
      </c>
      <c r="G12" s="15" t="s">
        <v>14</v>
      </c>
      <c r="H12" s="15">
        <v>7</v>
      </c>
      <c r="I12" s="14" t="s">
        <v>161</v>
      </c>
      <c r="J12" s="14" t="s">
        <v>170</v>
      </c>
      <c r="K12" s="15" t="s">
        <v>16</v>
      </c>
      <c r="L12" s="2"/>
    </row>
    <row r="13" spans="1:12" s="16" customFormat="1" ht="31.5" customHeight="1" thickBot="1" x14ac:dyDescent="0.35">
      <c r="A13" s="13">
        <v>8</v>
      </c>
      <c r="B13" s="45" t="s">
        <v>173</v>
      </c>
      <c r="C13" s="38" t="s">
        <v>527</v>
      </c>
      <c r="D13" s="15" t="s">
        <v>106</v>
      </c>
      <c r="E13" s="15" t="s">
        <v>12</v>
      </c>
      <c r="F13" s="15" t="s">
        <v>117</v>
      </c>
      <c r="G13" s="15" t="s">
        <v>14</v>
      </c>
      <c r="H13" s="15">
        <v>7</v>
      </c>
      <c r="I13" s="14" t="s">
        <v>161</v>
      </c>
      <c r="J13" s="14" t="s">
        <v>170</v>
      </c>
      <c r="K13" s="15" t="s">
        <v>16</v>
      </c>
      <c r="L13" s="2"/>
    </row>
    <row r="14" spans="1:12" s="16" customFormat="1" ht="31.5" customHeight="1" thickBot="1" x14ac:dyDescent="0.35">
      <c r="A14" s="13">
        <v>9</v>
      </c>
      <c r="B14" s="45" t="s">
        <v>174</v>
      </c>
      <c r="C14" s="38" t="s">
        <v>528</v>
      </c>
      <c r="D14" s="15" t="s">
        <v>106</v>
      </c>
      <c r="E14" s="15" t="s">
        <v>12</v>
      </c>
      <c r="F14" s="15" t="s">
        <v>175</v>
      </c>
      <c r="G14" s="15" t="s">
        <v>164</v>
      </c>
      <c r="H14" s="15">
        <v>6</v>
      </c>
      <c r="I14" s="14" t="s">
        <v>165</v>
      </c>
      <c r="J14" s="14" t="s">
        <v>170</v>
      </c>
      <c r="K14" s="15" t="s">
        <v>16</v>
      </c>
      <c r="L14" s="2"/>
    </row>
    <row r="15" spans="1:12" s="16" customFormat="1" ht="31.5" customHeight="1" thickBot="1" x14ac:dyDescent="0.35">
      <c r="A15" s="13">
        <v>10</v>
      </c>
      <c r="B15" s="45" t="s">
        <v>176</v>
      </c>
      <c r="C15" s="38" t="s">
        <v>529</v>
      </c>
      <c r="D15" s="15" t="s">
        <v>106</v>
      </c>
      <c r="E15" s="15" t="s">
        <v>12</v>
      </c>
      <c r="F15" s="15" t="s">
        <v>177</v>
      </c>
      <c r="G15" s="15" t="s">
        <v>178</v>
      </c>
      <c r="H15" s="15">
        <v>5</v>
      </c>
      <c r="I15" s="14" t="s">
        <v>179</v>
      </c>
      <c r="J15" s="14" t="s">
        <v>170</v>
      </c>
      <c r="K15" s="15" t="s">
        <v>16</v>
      </c>
      <c r="L15" s="2"/>
    </row>
    <row r="16" spans="1:12" s="16" customFormat="1" ht="31.5" customHeight="1" thickBot="1" x14ac:dyDescent="0.35">
      <c r="A16" s="13">
        <v>11</v>
      </c>
      <c r="B16" s="45" t="s">
        <v>182</v>
      </c>
      <c r="C16" s="128" t="s">
        <v>532</v>
      </c>
      <c r="D16" s="126" t="s">
        <v>106</v>
      </c>
      <c r="E16" s="15" t="s">
        <v>35</v>
      </c>
      <c r="F16" s="15" t="s">
        <v>117</v>
      </c>
      <c r="G16" s="15" t="s">
        <v>14</v>
      </c>
      <c r="H16" s="15">
        <v>7</v>
      </c>
      <c r="I16" s="14" t="s">
        <v>161</v>
      </c>
      <c r="J16" s="14" t="s">
        <v>180</v>
      </c>
      <c r="K16" s="15" t="s">
        <v>16</v>
      </c>
      <c r="L16" s="2"/>
    </row>
    <row r="17" spans="1:12" s="16" customFormat="1" ht="31.5" customHeight="1" thickBot="1" x14ac:dyDescent="0.35">
      <c r="A17" s="13">
        <v>12</v>
      </c>
      <c r="B17" s="45" t="s">
        <v>183</v>
      </c>
      <c r="C17" s="127" t="s">
        <v>533</v>
      </c>
      <c r="D17" s="15" t="s">
        <v>106</v>
      </c>
      <c r="E17" s="15" t="s">
        <v>12</v>
      </c>
      <c r="F17" s="15" t="s">
        <v>117</v>
      </c>
      <c r="G17" s="15" t="s">
        <v>14</v>
      </c>
      <c r="H17" s="15">
        <v>7</v>
      </c>
      <c r="I17" s="14" t="s">
        <v>161</v>
      </c>
      <c r="J17" s="14" t="s">
        <v>180</v>
      </c>
      <c r="K17" s="15" t="s">
        <v>16</v>
      </c>
      <c r="L17" s="2"/>
    </row>
    <row r="18" spans="1:12" s="16" customFormat="1" ht="31.5" customHeight="1" thickBot="1" x14ac:dyDescent="0.35">
      <c r="A18" s="13">
        <v>13</v>
      </c>
      <c r="B18" s="45" t="s">
        <v>184</v>
      </c>
      <c r="C18" s="38" t="s">
        <v>534</v>
      </c>
      <c r="D18" s="15" t="s">
        <v>106</v>
      </c>
      <c r="E18" s="15" t="s">
        <v>35</v>
      </c>
      <c r="F18" s="15" t="s">
        <v>185</v>
      </c>
      <c r="G18" s="15" t="s">
        <v>178</v>
      </c>
      <c r="H18" s="15">
        <v>5</v>
      </c>
      <c r="I18" s="14" t="s">
        <v>179</v>
      </c>
      <c r="J18" s="14" t="s">
        <v>180</v>
      </c>
      <c r="K18" s="15" t="s">
        <v>16</v>
      </c>
      <c r="L18" s="2"/>
    </row>
    <row r="19" spans="1:12" s="16" customFormat="1" ht="31.5" customHeight="1" thickBot="1" x14ac:dyDescent="0.35">
      <c r="A19" s="13">
        <v>14</v>
      </c>
      <c r="B19" s="45" t="s">
        <v>186</v>
      </c>
      <c r="C19" s="38" t="s">
        <v>535</v>
      </c>
      <c r="D19" s="15" t="s">
        <v>106</v>
      </c>
      <c r="E19" s="15" t="s">
        <v>12</v>
      </c>
      <c r="F19" s="15" t="s">
        <v>177</v>
      </c>
      <c r="G19" s="15" t="s">
        <v>178</v>
      </c>
      <c r="H19" s="15">
        <v>5</v>
      </c>
      <c r="I19" s="14" t="s">
        <v>179</v>
      </c>
      <c r="J19" s="14" t="s">
        <v>180</v>
      </c>
      <c r="K19" s="15" t="s">
        <v>16</v>
      </c>
      <c r="L19" s="2"/>
    </row>
    <row r="20" spans="1:12" s="16" customFormat="1" ht="31.5" customHeight="1" thickBot="1" x14ac:dyDescent="0.35">
      <c r="A20" s="13">
        <v>15</v>
      </c>
      <c r="B20" s="45" t="s">
        <v>187</v>
      </c>
      <c r="C20" s="38" t="s">
        <v>536</v>
      </c>
      <c r="D20" s="15" t="s">
        <v>106</v>
      </c>
      <c r="E20" s="15" t="s">
        <v>12</v>
      </c>
      <c r="F20" s="15" t="s">
        <v>117</v>
      </c>
      <c r="G20" s="15" t="s">
        <v>14</v>
      </c>
      <c r="H20" s="15">
        <v>7</v>
      </c>
      <c r="I20" s="14" t="s">
        <v>161</v>
      </c>
      <c r="J20" s="14" t="s">
        <v>180</v>
      </c>
      <c r="K20" s="15" t="s">
        <v>16</v>
      </c>
      <c r="L20" s="2"/>
    </row>
    <row r="21" spans="1:12" s="16" customFormat="1" ht="31.5" customHeight="1" thickBot="1" x14ac:dyDescent="0.35">
      <c r="A21" s="13">
        <v>16</v>
      </c>
      <c r="B21" s="136" t="s">
        <v>761</v>
      </c>
      <c r="C21" s="137" t="s">
        <v>762</v>
      </c>
      <c r="D21" s="15" t="s">
        <v>106</v>
      </c>
      <c r="E21" s="14" t="s">
        <v>12</v>
      </c>
      <c r="F21" s="15" t="s">
        <v>29</v>
      </c>
      <c r="G21" s="15" t="s">
        <v>18</v>
      </c>
      <c r="H21" s="15">
        <v>7</v>
      </c>
      <c r="I21" s="14" t="s">
        <v>161</v>
      </c>
      <c r="J21" s="14" t="s">
        <v>180</v>
      </c>
      <c r="K21" s="15" t="s">
        <v>16</v>
      </c>
      <c r="L21" s="2"/>
    </row>
    <row r="22" spans="1:12" s="16" customFormat="1" ht="31.5" customHeight="1" thickBot="1" x14ac:dyDescent="0.35">
      <c r="A22" s="13">
        <v>17</v>
      </c>
      <c r="B22" s="45" t="s">
        <v>188</v>
      </c>
      <c r="C22" s="38" t="s">
        <v>537</v>
      </c>
      <c r="D22" s="15" t="s">
        <v>106</v>
      </c>
      <c r="E22" s="15" t="s">
        <v>12</v>
      </c>
      <c r="F22" s="15" t="s">
        <v>117</v>
      </c>
      <c r="G22" s="15" t="s">
        <v>14</v>
      </c>
      <c r="H22" s="15">
        <v>7</v>
      </c>
      <c r="I22" s="14" t="s">
        <v>161</v>
      </c>
      <c r="J22" s="14" t="s">
        <v>98</v>
      </c>
      <c r="K22" s="15" t="s">
        <v>16</v>
      </c>
      <c r="L22" s="2"/>
    </row>
    <row r="23" spans="1:12" s="16" customFormat="1" ht="31.5" customHeight="1" thickBot="1" x14ac:dyDescent="0.35">
      <c r="A23" s="13">
        <v>18</v>
      </c>
      <c r="B23" s="45" t="s">
        <v>189</v>
      </c>
      <c r="C23" s="38" t="s">
        <v>538</v>
      </c>
      <c r="D23" s="15" t="s">
        <v>106</v>
      </c>
      <c r="E23" s="15" t="s">
        <v>35</v>
      </c>
      <c r="F23" s="15" t="s">
        <v>117</v>
      </c>
      <c r="G23" s="15" t="s">
        <v>18</v>
      </c>
      <c r="H23" s="15">
        <v>7</v>
      </c>
      <c r="I23" s="14" t="s">
        <v>161</v>
      </c>
      <c r="J23" s="14" t="s">
        <v>98</v>
      </c>
      <c r="K23" s="15" t="s">
        <v>16</v>
      </c>
      <c r="L23" s="2"/>
    </row>
    <row r="24" spans="1:12" s="16" customFormat="1" ht="31.5" customHeight="1" thickBot="1" x14ac:dyDescent="0.35">
      <c r="A24" s="13">
        <v>19</v>
      </c>
      <c r="B24" s="45" t="s">
        <v>190</v>
      </c>
      <c r="C24" s="38" t="s">
        <v>539</v>
      </c>
      <c r="D24" s="15" t="s">
        <v>106</v>
      </c>
      <c r="E24" s="15" t="s">
        <v>35</v>
      </c>
      <c r="F24" s="15" t="s">
        <v>110</v>
      </c>
      <c r="G24" s="15" t="s">
        <v>164</v>
      </c>
      <c r="H24" s="15">
        <v>6</v>
      </c>
      <c r="I24" s="14" t="s">
        <v>165</v>
      </c>
      <c r="J24" s="14" t="s">
        <v>191</v>
      </c>
      <c r="K24" s="15" t="s">
        <v>16</v>
      </c>
      <c r="L24" s="2"/>
    </row>
    <row r="25" spans="1:12" s="16" customFormat="1" ht="31.5" customHeight="1" thickBot="1" x14ac:dyDescent="0.35">
      <c r="A25" s="13">
        <v>20</v>
      </c>
      <c r="B25" s="45" t="s">
        <v>192</v>
      </c>
      <c r="C25" s="38" t="s">
        <v>540</v>
      </c>
      <c r="D25" s="15" t="s">
        <v>106</v>
      </c>
      <c r="E25" s="15" t="s">
        <v>12</v>
      </c>
      <c r="F25" s="15" t="s">
        <v>185</v>
      </c>
      <c r="G25" s="15" t="s">
        <v>178</v>
      </c>
      <c r="H25" s="15">
        <v>5</v>
      </c>
      <c r="I25" s="14" t="s">
        <v>179</v>
      </c>
      <c r="J25" s="14" t="s">
        <v>191</v>
      </c>
      <c r="K25" s="15" t="s">
        <v>16</v>
      </c>
      <c r="L25" s="2"/>
    </row>
    <row r="26" spans="1:12" s="16" customFormat="1" ht="31.5" customHeight="1" thickBot="1" x14ac:dyDescent="0.35">
      <c r="A26" s="13">
        <v>21</v>
      </c>
      <c r="B26" s="45" t="s">
        <v>193</v>
      </c>
      <c r="C26" s="38" t="s">
        <v>541</v>
      </c>
      <c r="D26" s="15" t="s">
        <v>106</v>
      </c>
      <c r="E26" s="15" t="s">
        <v>12</v>
      </c>
      <c r="F26" s="15" t="s">
        <v>107</v>
      </c>
      <c r="G26" s="15" t="s">
        <v>14</v>
      </c>
      <c r="H26" s="15">
        <v>7</v>
      </c>
      <c r="I26" s="14" t="s">
        <v>161</v>
      </c>
      <c r="J26" s="14" t="s">
        <v>191</v>
      </c>
      <c r="K26" s="15" t="s">
        <v>16</v>
      </c>
      <c r="L26" s="2"/>
    </row>
    <row r="27" spans="1:12" s="16" customFormat="1" ht="31.5" customHeight="1" thickBot="1" x14ac:dyDescent="0.35">
      <c r="A27" s="13">
        <v>22</v>
      </c>
      <c r="B27" s="45" t="s">
        <v>543</v>
      </c>
      <c r="C27" s="38" t="s">
        <v>544</v>
      </c>
      <c r="D27" s="15" t="s">
        <v>106</v>
      </c>
      <c r="E27" s="15" t="s">
        <v>12</v>
      </c>
      <c r="F27" s="15" t="s">
        <v>117</v>
      </c>
      <c r="G27" s="15" t="s">
        <v>14</v>
      </c>
      <c r="H27" s="15">
        <v>7</v>
      </c>
      <c r="I27" s="14" t="s">
        <v>161</v>
      </c>
      <c r="J27" s="14" t="s">
        <v>191</v>
      </c>
      <c r="K27" s="15" t="s">
        <v>16</v>
      </c>
      <c r="L27" s="2"/>
    </row>
    <row r="28" spans="1:12" s="16" customFormat="1" ht="31.5" customHeight="1" thickBot="1" x14ac:dyDescent="0.35">
      <c r="A28" s="13">
        <v>23</v>
      </c>
      <c r="B28" s="45" t="s">
        <v>195</v>
      </c>
      <c r="C28" s="38" t="s">
        <v>545</v>
      </c>
      <c r="D28" s="15" t="s">
        <v>106</v>
      </c>
      <c r="E28" s="15" t="s">
        <v>35</v>
      </c>
      <c r="F28" s="15" t="s">
        <v>117</v>
      </c>
      <c r="G28" s="15" t="s">
        <v>14</v>
      </c>
      <c r="H28" s="15">
        <v>7</v>
      </c>
      <c r="I28" s="14" t="s">
        <v>161</v>
      </c>
      <c r="J28" s="14" t="s">
        <v>191</v>
      </c>
      <c r="K28" s="15" t="s">
        <v>16</v>
      </c>
      <c r="L28" s="2"/>
    </row>
    <row r="29" spans="1:12" s="16" customFormat="1" ht="31.5" customHeight="1" thickBot="1" x14ac:dyDescent="0.35">
      <c r="A29" s="13">
        <v>24</v>
      </c>
      <c r="B29" s="45" t="s">
        <v>196</v>
      </c>
      <c r="C29" s="38" t="s">
        <v>589</v>
      </c>
      <c r="D29" s="15" t="s">
        <v>106</v>
      </c>
      <c r="E29" s="15" t="s">
        <v>12</v>
      </c>
      <c r="F29" s="15" t="s">
        <v>29</v>
      </c>
      <c r="G29" s="15" t="s">
        <v>18</v>
      </c>
      <c r="H29" s="15">
        <v>7</v>
      </c>
      <c r="I29" s="14" t="s">
        <v>161</v>
      </c>
      <c r="J29" s="14" t="s">
        <v>191</v>
      </c>
      <c r="K29" s="15" t="s">
        <v>16</v>
      </c>
      <c r="L29" s="2"/>
    </row>
    <row r="30" spans="1:12" s="16" customFormat="1" ht="31.5" customHeight="1" thickBot="1" x14ac:dyDescent="0.35">
      <c r="A30" s="13">
        <v>25</v>
      </c>
      <c r="B30" s="45" t="s">
        <v>197</v>
      </c>
      <c r="C30" s="38" t="s">
        <v>764</v>
      </c>
      <c r="D30" s="15" t="s">
        <v>106</v>
      </c>
      <c r="E30" s="15" t="s">
        <v>12</v>
      </c>
      <c r="F30" s="15" t="s">
        <v>107</v>
      </c>
      <c r="G30" s="15" t="s">
        <v>18</v>
      </c>
      <c r="H30" s="15">
        <v>7</v>
      </c>
      <c r="I30" s="14" t="s">
        <v>161</v>
      </c>
      <c r="J30" s="14" t="s">
        <v>198</v>
      </c>
      <c r="K30" s="15" t="s">
        <v>16</v>
      </c>
      <c r="L30" s="2"/>
    </row>
    <row r="31" spans="1:12" s="16" customFormat="1" ht="31.5" customHeight="1" thickBot="1" x14ac:dyDescent="0.35">
      <c r="A31" s="13">
        <v>26</v>
      </c>
      <c r="B31" s="45" t="s">
        <v>199</v>
      </c>
      <c r="C31" s="38" t="s">
        <v>591</v>
      </c>
      <c r="D31" s="15" t="s">
        <v>106</v>
      </c>
      <c r="E31" s="15" t="s">
        <v>12</v>
      </c>
      <c r="F31" s="15" t="s">
        <v>117</v>
      </c>
      <c r="G31" s="15" t="s">
        <v>14</v>
      </c>
      <c r="H31" s="15">
        <v>7</v>
      </c>
      <c r="I31" s="14" t="s">
        <v>161</v>
      </c>
      <c r="J31" s="14" t="s">
        <v>200</v>
      </c>
      <c r="K31" s="15" t="s">
        <v>16</v>
      </c>
      <c r="L31" s="2"/>
    </row>
    <row r="32" spans="1:12" s="16" customFormat="1" ht="31.5" customHeight="1" thickBot="1" x14ac:dyDescent="0.35">
      <c r="A32" s="13">
        <v>27</v>
      </c>
      <c r="B32" s="45" t="s">
        <v>201</v>
      </c>
      <c r="C32" s="38" t="s">
        <v>592</v>
      </c>
      <c r="D32" s="15" t="s">
        <v>106</v>
      </c>
      <c r="E32" s="15" t="s">
        <v>12</v>
      </c>
      <c r="F32" s="15" t="s">
        <v>117</v>
      </c>
      <c r="G32" s="15" t="s">
        <v>14</v>
      </c>
      <c r="H32" s="15">
        <v>7</v>
      </c>
      <c r="I32" s="14" t="s">
        <v>161</v>
      </c>
      <c r="J32" s="14" t="s">
        <v>202</v>
      </c>
      <c r="K32" s="15" t="s">
        <v>16</v>
      </c>
      <c r="L32" s="2"/>
    </row>
    <row r="33" spans="1:12" s="16" customFormat="1" ht="31.5" customHeight="1" thickBot="1" x14ac:dyDescent="0.35">
      <c r="A33" s="13">
        <v>28</v>
      </c>
      <c r="B33" s="45" t="s">
        <v>203</v>
      </c>
      <c r="C33" s="38" t="s">
        <v>593</v>
      </c>
      <c r="D33" s="15" t="s">
        <v>106</v>
      </c>
      <c r="E33" s="15" t="s">
        <v>12</v>
      </c>
      <c r="F33" s="15" t="s">
        <v>117</v>
      </c>
      <c r="G33" s="15" t="s">
        <v>178</v>
      </c>
      <c r="H33" s="15">
        <v>5</v>
      </c>
      <c r="I33" s="14" t="s">
        <v>179</v>
      </c>
      <c r="J33" s="14" t="s">
        <v>202</v>
      </c>
      <c r="K33" s="15" t="s">
        <v>16</v>
      </c>
      <c r="L33" s="2"/>
    </row>
    <row r="34" spans="1:12" s="16" customFormat="1" ht="31.5" customHeight="1" thickBot="1" x14ac:dyDescent="0.35">
      <c r="A34" s="13">
        <v>29</v>
      </c>
      <c r="B34" s="45" t="s">
        <v>206</v>
      </c>
      <c r="C34" s="38" t="s">
        <v>594</v>
      </c>
      <c r="D34" s="15" t="s">
        <v>106</v>
      </c>
      <c r="E34" s="15" t="s">
        <v>35</v>
      </c>
      <c r="F34" s="15" t="s">
        <v>23</v>
      </c>
      <c r="G34" s="15" t="s">
        <v>18</v>
      </c>
      <c r="H34" s="15">
        <v>7</v>
      </c>
      <c r="I34" s="14" t="s">
        <v>161</v>
      </c>
      <c r="J34" s="14" t="s">
        <v>205</v>
      </c>
      <c r="K34" s="15" t="s">
        <v>16</v>
      </c>
      <c r="L34" s="2"/>
    </row>
    <row r="35" spans="1:12" s="16" customFormat="1" ht="31.5" customHeight="1" thickBot="1" x14ac:dyDescent="0.35">
      <c r="A35" s="13">
        <v>30</v>
      </c>
      <c r="B35" s="45" t="s">
        <v>207</v>
      </c>
      <c r="C35" s="38" t="s">
        <v>595</v>
      </c>
      <c r="D35" s="15" t="s">
        <v>106</v>
      </c>
      <c r="E35" s="15" t="s">
        <v>35</v>
      </c>
      <c r="F35" s="15" t="s">
        <v>117</v>
      </c>
      <c r="G35" s="15" t="s">
        <v>14</v>
      </c>
      <c r="H35" s="15">
        <v>7</v>
      </c>
      <c r="I35" s="14" t="s">
        <v>161</v>
      </c>
      <c r="J35" s="14" t="s">
        <v>205</v>
      </c>
      <c r="K35" s="15" t="s">
        <v>16</v>
      </c>
      <c r="L35" s="2"/>
    </row>
    <row r="36" spans="1:12" s="16" customFormat="1" ht="31.5" customHeight="1" thickBot="1" x14ac:dyDescent="0.35">
      <c r="A36" s="13">
        <v>31</v>
      </c>
      <c r="B36" s="45" t="s">
        <v>208</v>
      </c>
      <c r="C36" s="38" t="s">
        <v>596</v>
      </c>
      <c r="D36" s="15" t="s">
        <v>106</v>
      </c>
      <c r="E36" s="15" t="s">
        <v>12</v>
      </c>
      <c r="F36" s="15" t="s">
        <v>209</v>
      </c>
      <c r="G36" s="15" t="s">
        <v>178</v>
      </c>
      <c r="H36" s="15">
        <v>5</v>
      </c>
      <c r="I36" s="14" t="s">
        <v>179</v>
      </c>
      <c r="J36" s="14" t="s">
        <v>205</v>
      </c>
      <c r="K36" s="15" t="s">
        <v>16</v>
      </c>
      <c r="L36" s="2"/>
    </row>
    <row r="37" spans="1:12" s="16" customFormat="1" ht="31.5" customHeight="1" thickBot="1" x14ac:dyDescent="0.35">
      <c r="A37" s="13">
        <v>32</v>
      </c>
      <c r="B37" s="45" t="s">
        <v>210</v>
      </c>
      <c r="C37" s="38" t="s">
        <v>597</v>
      </c>
      <c r="D37" s="15" t="s">
        <v>106</v>
      </c>
      <c r="E37" s="14" t="s">
        <v>35</v>
      </c>
      <c r="F37" s="15" t="s">
        <v>23</v>
      </c>
      <c r="G37" s="15" t="s">
        <v>14</v>
      </c>
      <c r="H37" s="15">
        <v>7</v>
      </c>
      <c r="I37" s="14" t="s">
        <v>161</v>
      </c>
      <c r="J37" s="14" t="s">
        <v>205</v>
      </c>
      <c r="K37" s="15" t="s">
        <v>16</v>
      </c>
      <c r="L37" s="2"/>
    </row>
    <row r="38" spans="1:12" s="16" customFormat="1" ht="31.5" customHeight="1" thickBot="1" x14ac:dyDescent="0.35">
      <c r="A38" s="13">
        <v>33</v>
      </c>
      <c r="B38" s="45" t="s">
        <v>211</v>
      </c>
      <c r="C38" s="38" t="s">
        <v>598</v>
      </c>
      <c r="D38" s="15" t="s">
        <v>106</v>
      </c>
      <c r="E38" s="14" t="s">
        <v>35</v>
      </c>
      <c r="F38" s="15" t="s">
        <v>110</v>
      </c>
      <c r="G38" s="15" t="s">
        <v>14</v>
      </c>
      <c r="H38" s="15">
        <v>7</v>
      </c>
      <c r="I38" s="14" t="s">
        <v>161</v>
      </c>
      <c r="J38" s="14" t="s">
        <v>212</v>
      </c>
      <c r="K38" s="15" t="s">
        <v>16</v>
      </c>
      <c r="L38" s="2"/>
    </row>
    <row r="39" spans="1:12" s="16" customFormat="1" ht="31.5" customHeight="1" thickBot="1" x14ac:dyDescent="0.35">
      <c r="A39" s="13">
        <v>34</v>
      </c>
      <c r="B39" s="45" t="s">
        <v>213</v>
      </c>
      <c r="C39" s="38" t="s">
        <v>599</v>
      </c>
      <c r="D39" s="15" t="s">
        <v>106</v>
      </c>
      <c r="E39" s="14" t="s">
        <v>12</v>
      </c>
      <c r="F39" s="15" t="s">
        <v>23</v>
      </c>
      <c r="G39" s="15" t="s">
        <v>14</v>
      </c>
      <c r="H39" s="15">
        <v>7</v>
      </c>
      <c r="I39" s="14" t="s">
        <v>161</v>
      </c>
      <c r="J39" s="14" t="s">
        <v>212</v>
      </c>
      <c r="K39" s="15" t="s">
        <v>16</v>
      </c>
      <c r="L39" s="2"/>
    </row>
    <row r="40" spans="1:12" s="16" customFormat="1" ht="31.5" customHeight="1" thickBot="1" x14ac:dyDescent="0.35">
      <c r="A40" s="13">
        <v>35</v>
      </c>
      <c r="B40" s="45" t="s">
        <v>214</v>
      </c>
      <c r="C40" s="38" t="s">
        <v>600</v>
      </c>
      <c r="D40" s="15" t="s">
        <v>106</v>
      </c>
      <c r="E40" s="14" t="s">
        <v>35</v>
      </c>
      <c r="F40" s="15" t="s">
        <v>117</v>
      </c>
      <c r="G40" s="15" t="s">
        <v>14</v>
      </c>
      <c r="H40" s="15">
        <v>7</v>
      </c>
      <c r="I40" s="14" t="s">
        <v>161</v>
      </c>
      <c r="J40" s="14" t="s">
        <v>215</v>
      </c>
      <c r="K40" s="15" t="s">
        <v>16</v>
      </c>
      <c r="L40" s="2"/>
    </row>
    <row r="41" spans="1:12" s="16" customFormat="1" ht="31.5" customHeight="1" thickBot="1" x14ac:dyDescent="0.35">
      <c r="A41" s="13">
        <v>36</v>
      </c>
      <c r="B41" s="45" t="s">
        <v>216</v>
      </c>
      <c r="C41" s="38" t="s">
        <v>601</v>
      </c>
      <c r="D41" s="15" t="s">
        <v>106</v>
      </c>
      <c r="E41" s="14" t="s">
        <v>12</v>
      </c>
      <c r="F41" s="15" t="s">
        <v>117</v>
      </c>
      <c r="G41" s="15" t="s">
        <v>14</v>
      </c>
      <c r="H41" s="15">
        <v>7</v>
      </c>
      <c r="I41" s="14" t="s">
        <v>161</v>
      </c>
      <c r="J41" s="14" t="s">
        <v>377</v>
      </c>
      <c r="K41" s="15" t="s">
        <v>16</v>
      </c>
      <c r="L41" s="2"/>
    </row>
    <row r="42" spans="1:12" s="16" customFormat="1" ht="31.5" customHeight="1" thickBot="1" x14ac:dyDescent="0.35">
      <c r="A42" s="13">
        <v>37</v>
      </c>
      <c r="B42" s="45" t="s">
        <v>217</v>
      </c>
      <c r="C42" s="38" t="s">
        <v>602</v>
      </c>
      <c r="D42" s="15" t="s">
        <v>106</v>
      </c>
      <c r="E42" s="14" t="s">
        <v>12</v>
      </c>
      <c r="F42" s="15" t="s">
        <v>29</v>
      </c>
      <c r="G42" s="15" t="s">
        <v>18</v>
      </c>
      <c r="H42" s="15">
        <v>7</v>
      </c>
      <c r="I42" s="14" t="s">
        <v>161</v>
      </c>
      <c r="J42" s="14" t="s">
        <v>218</v>
      </c>
      <c r="K42" s="15" t="s">
        <v>16</v>
      </c>
      <c r="L42" s="2"/>
    </row>
    <row r="43" spans="1:12" s="16" customFormat="1" ht="31.5" customHeight="1" thickBot="1" x14ac:dyDescent="0.35">
      <c r="A43" s="13">
        <v>38</v>
      </c>
      <c r="B43" s="45" t="s">
        <v>219</v>
      </c>
      <c r="C43" s="38" t="s">
        <v>603</v>
      </c>
      <c r="D43" s="15" t="s">
        <v>106</v>
      </c>
      <c r="E43" s="14" t="s">
        <v>12</v>
      </c>
      <c r="F43" s="15" t="s">
        <v>23</v>
      </c>
      <c r="G43" s="15" t="s">
        <v>14</v>
      </c>
      <c r="H43" s="15">
        <v>7</v>
      </c>
      <c r="I43" s="14" t="s">
        <v>161</v>
      </c>
      <c r="J43" s="14" t="s">
        <v>218</v>
      </c>
      <c r="K43" s="15" t="s">
        <v>16</v>
      </c>
      <c r="L43" s="2"/>
    </row>
    <row r="44" spans="1:12" s="16" customFormat="1" ht="31.5" customHeight="1" thickBot="1" x14ac:dyDescent="0.35">
      <c r="A44" s="13">
        <v>39</v>
      </c>
      <c r="B44" s="45" t="s">
        <v>220</v>
      </c>
      <c r="C44" s="65" t="s">
        <v>604</v>
      </c>
      <c r="D44" s="15" t="s">
        <v>106</v>
      </c>
      <c r="E44" s="14" t="s">
        <v>12</v>
      </c>
      <c r="F44" s="15" t="s">
        <v>175</v>
      </c>
      <c r="G44" s="15" t="s">
        <v>178</v>
      </c>
      <c r="H44" s="15">
        <v>5</v>
      </c>
      <c r="I44" s="14" t="s">
        <v>179</v>
      </c>
      <c r="J44" s="14" t="s">
        <v>221</v>
      </c>
      <c r="K44" s="15" t="s">
        <v>16</v>
      </c>
      <c r="L44" s="2"/>
    </row>
    <row r="45" spans="1:12" s="16" customFormat="1" ht="31.5" customHeight="1" thickBot="1" x14ac:dyDescent="0.35">
      <c r="A45" s="13">
        <v>40</v>
      </c>
      <c r="B45" s="45" t="s">
        <v>222</v>
      </c>
      <c r="C45" s="62" t="s">
        <v>605</v>
      </c>
      <c r="D45" s="15" t="s">
        <v>106</v>
      </c>
      <c r="E45" s="14" t="s">
        <v>12</v>
      </c>
      <c r="F45" s="15" t="s">
        <v>110</v>
      </c>
      <c r="G45" s="15" t="s">
        <v>14</v>
      </c>
      <c r="H45" s="15">
        <v>7</v>
      </c>
      <c r="I45" s="14" t="s">
        <v>161</v>
      </c>
      <c r="J45" s="14" t="s">
        <v>221</v>
      </c>
      <c r="K45" s="15" t="s">
        <v>16</v>
      </c>
      <c r="L45" s="2"/>
    </row>
    <row r="46" spans="1:12" s="16" customFormat="1" ht="31.5" customHeight="1" thickBot="1" x14ac:dyDescent="0.35">
      <c r="A46" s="13">
        <v>41</v>
      </c>
      <c r="B46" s="45" t="s">
        <v>223</v>
      </c>
      <c r="C46" s="62" t="s">
        <v>606</v>
      </c>
      <c r="D46" s="15" t="s">
        <v>106</v>
      </c>
      <c r="E46" s="14" t="s">
        <v>35</v>
      </c>
      <c r="F46" s="15" t="s">
        <v>107</v>
      </c>
      <c r="G46" s="15" t="s">
        <v>14</v>
      </c>
      <c r="H46" s="15">
        <v>7</v>
      </c>
      <c r="I46" s="14" t="s">
        <v>161</v>
      </c>
      <c r="J46" s="14" t="s">
        <v>156</v>
      </c>
      <c r="K46" s="15" t="s">
        <v>16</v>
      </c>
      <c r="L46" s="2"/>
    </row>
    <row r="47" spans="1:12" s="16" customFormat="1" ht="31.5" customHeight="1" thickBot="1" x14ac:dyDescent="0.35">
      <c r="A47" s="13">
        <v>42</v>
      </c>
      <c r="B47" s="45" t="s">
        <v>224</v>
      </c>
      <c r="C47" s="62" t="s">
        <v>607</v>
      </c>
      <c r="D47" s="15" t="s">
        <v>106</v>
      </c>
      <c r="E47" s="14" t="s">
        <v>35</v>
      </c>
      <c r="F47" s="15" t="s">
        <v>185</v>
      </c>
      <c r="G47" s="15" t="s">
        <v>225</v>
      </c>
      <c r="H47" s="15">
        <v>3</v>
      </c>
      <c r="I47" s="14" t="s">
        <v>179</v>
      </c>
      <c r="J47" s="14" t="s">
        <v>156</v>
      </c>
      <c r="K47" s="15" t="s">
        <v>16</v>
      </c>
      <c r="L47" s="2"/>
    </row>
    <row r="48" spans="1:12" s="16" customFormat="1" ht="31.5" customHeight="1" thickBot="1" x14ac:dyDescent="0.35">
      <c r="A48" s="13">
        <v>43</v>
      </c>
      <c r="B48" s="45" t="s">
        <v>226</v>
      </c>
      <c r="C48" s="62" t="s">
        <v>608</v>
      </c>
      <c r="D48" s="15" t="s">
        <v>106</v>
      </c>
      <c r="E48" s="14" t="s">
        <v>12</v>
      </c>
      <c r="F48" s="15" t="s">
        <v>110</v>
      </c>
      <c r="G48" s="15" t="s">
        <v>14</v>
      </c>
      <c r="H48" s="15">
        <v>7</v>
      </c>
      <c r="I48" s="14" t="s">
        <v>161</v>
      </c>
      <c r="J48" s="14" t="s">
        <v>156</v>
      </c>
      <c r="K48" s="15" t="s">
        <v>16</v>
      </c>
      <c r="L48" s="2"/>
    </row>
    <row r="49" spans="1:12" s="16" customFormat="1" ht="48" customHeight="1" thickBot="1" x14ac:dyDescent="0.35">
      <c r="A49" s="13">
        <v>44</v>
      </c>
      <c r="B49" s="45" t="s">
        <v>227</v>
      </c>
      <c r="C49" s="62" t="s">
        <v>609</v>
      </c>
      <c r="D49" s="15" t="s">
        <v>106</v>
      </c>
      <c r="E49" s="14" t="s">
        <v>35</v>
      </c>
      <c r="F49" s="15" t="s">
        <v>107</v>
      </c>
      <c r="G49" s="15" t="s">
        <v>14</v>
      </c>
      <c r="H49" s="15">
        <v>7</v>
      </c>
      <c r="I49" s="14" t="s">
        <v>161</v>
      </c>
      <c r="J49" s="14" t="s">
        <v>228</v>
      </c>
      <c r="K49" s="15" t="s">
        <v>16</v>
      </c>
      <c r="L49" s="2"/>
    </row>
    <row r="50" spans="1:12" s="16" customFormat="1" ht="48" customHeight="1" thickBot="1" x14ac:dyDescent="0.35">
      <c r="A50" s="13">
        <v>45</v>
      </c>
      <c r="B50" s="45" t="s">
        <v>229</v>
      </c>
      <c r="C50" s="62" t="s">
        <v>610</v>
      </c>
      <c r="D50" s="15" t="s">
        <v>106</v>
      </c>
      <c r="E50" s="14" t="s">
        <v>12</v>
      </c>
      <c r="F50" s="15" t="s">
        <v>107</v>
      </c>
      <c r="G50" s="15" t="s">
        <v>14</v>
      </c>
      <c r="H50" s="15">
        <v>7</v>
      </c>
      <c r="I50" s="14" t="s">
        <v>161</v>
      </c>
      <c r="J50" s="14" t="s">
        <v>230</v>
      </c>
      <c r="K50" s="15" t="s">
        <v>16</v>
      </c>
      <c r="L50" s="2"/>
    </row>
    <row r="51" spans="1:12" s="16" customFormat="1" ht="48" customHeight="1" thickBot="1" x14ac:dyDescent="0.35">
      <c r="A51" s="13">
        <v>46</v>
      </c>
      <c r="B51" s="45" t="s">
        <v>231</v>
      </c>
      <c r="C51" s="62" t="s">
        <v>611</v>
      </c>
      <c r="D51" s="15" t="s">
        <v>106</v>
      </c>
      <c r="E51" s="14" t="s">
        <v>35</v>
      </c>
      <c r="F51" s="15" t="s">
        <v>117</v>
      </c>
      <c r="G51" s="15" t="s">
        <v>14</v>
      </c>
      <c r="H51" s="15">
        <v>7</v>
      </c>
      <c r="I51" s="14" t="s">
        <v>161</v>
      </c>
      <c r="J51" s="14" t="s">
        <v>230</v>
      </c>
      <c r="K51" s="15" t="s">
        <v>16</v>
      </c>
      <c r="L51" s="2"/>
    </row>
    <row r="52" spans="1:12" s="16" customFormat="1" ht="48" customHeight="1" thickBot="1" x14ac:dyDescent="0.35">
      <c r="A52" s="13">
        <v>47</v>
      </c>
      <c r="B52" s="45" t="s">
        <v>232</v>
      </c>
      <c r="C52" s="62" t="s">
        <v>612</v>
      </c>
      <c r="D52" s="15" t="s">
        <v>106</v>
      </c>
      <c r="E52" s="14" t="s">
        <v>12</v>
      </c>
      <c r="F52" s="15" t="s">
        <v>177</v>
      </c>
      <c r="G52" s="15" t="s">
        <v>178</v>
      </c>
      <c r="H52" s="15">
        <v>5</v>
      </c>
      <c r="I52" s="14" t="s">
        <v>179</v>
      </c>
      <c r="J52" s="14" t="s">
        <v>230</v>
      </c>
      <c r="K52" s="15" t="s">
        <v>16</v>
      </c>
      <c r="L52" s="2"/>
    </row>
    <row r="53" spans="1:12" s="16" customFormat="1" ht="48" customHeight="1" thickBot="1" x14ac:dyDescent="0.35">
      <c r="A53" s="13">
        <v>48</v>
      </c>
      <c r="B53" s="45" t="s">
        <v>233</v>
      </c>
      <c r="C53" s="62" t="s">
        <v>613</v>
      </c>
      <c r="D53" s="15" t="s">
        <v>106</v>
      </c>
      <c r="E53" s="14" t="s">
        <v>12</v>
      </c>
      <c r="F53" s="15" t="s">
        <v>23</v>
      </c>
      <c r="G53" s="15" t="s">
        <v>14</v>
      </c>
      <c r="H53" s="15">
        <v>7</v>
      </c>
      <c r="I53" s="14" t="s">
        <v>161</v>
      </c>
      <c r="J53" s="14" t="s">
        <v>230</v>
      </c>
      <c r="K53" s="15" t="s">
        <v>16</v>
      </c>
      <c r="L53" s="2"/>
    </row>
    <row r="54" spans="1:12" s="16" customFormat="1" ht="31.5" customHeight="1" thickBot="1" x14ac:dyDescent="0.35">
      <c r="A54" s="13">
        <v>49</v>
      </c>
      <c r="B54" s="66" t="s">
        <v>614</v>
      </c>
      <c r="C54" s="69" t="s">
        <v>615</v>
      </c>
      <c r="D54" s="70" t="s">
        <v>106</v>
      </c>
      <c r="E54" s="67" t="s">
        <v>35</v>
      </c>
      <c r="F54" s="68" t="s">
        <v>117</v>
      </c>
      <c r="G54" s="70" t="s">
        <v>178</v>
      </c>
      <c r="H54" s="70">
        <v>5</v>
      </c>
      <c r="I54" s="71" t="s">
        <v>179</v>
      </c>
      <c r="J54" s="71" t="s">
        <v>234</v>
      </c>
      <c r="K54" s="15" t="s">
        <v>16</v>
      </c>
      <c r="L54" s="2"/>
    </row>
    <row r="55" spans="1:12" s="16" customFormat="1" ht="31.5" customHeight="1" thickBot="1" x14ac:dyDescent="0.35">
      <c r="A55" s="13">
        <v>50</v>
      </c>
      <c r="B55" s="45" t="s">
        <v>235</v>
      </c>
      <c r="C55" s="62" t="s">
        <v>647</v>
      </c>
      <c r="D55" s="15" t="s">
        <v>106</v>
      </c>
      <c r="E55" s="14" t="s">
        <v>12</v>
      </c>
      <c r="F55" s="15" t="s">
        <v>107</v>
      </c>
      <c r="G55" s="15" t="s">
        <v>18</v>
      </c>
      <c r="H55" s="15">
        <v>7</v>
      </c>
      <c r="I55" s="14" t="s">
        <v>161</v>
      </c>
      <c r="J55" s="14" t="s">
        <v>234</v>
      </c>
      <c r="K55" s="15" t="s">
        <v>16</v>
      </c>
      <c r="L55" s="2"/>
    </row>
    <row r="56" spans="1:12" s="16" customFormat="1" ht="31.5" customHeight="1" thickBot="1" x14ac:dyDescent="0.35">
      <c r="A56" s="13">
        <v>51</v>
      </c>
      <c r="B56" s="45" t="s">
        <v>236</v>
      </c>
      <c r="C56" s="62" t="s">
        <v>649</v>
      </c>
      <c r="D56" s="15" t="s">
        <v>106</v>
      </c>
      <c r="E56" s="14" t="s">
        <v>35</v>
      </c>
      <c r="F56" s="15" t="s">
        <v>117</v>
      </c>
      <c r="G56" s="15" t="s">
        <v>14</v>
      </c>
      <c r="H56" s="15">
        <v>7</v>
      </c>
      <c r="I56" s="14" t="s">
        <v>161</v>
      </c>
      <c r="J56" s="14" t="s">
        <v>234</v>
      </c>
      <c r="K56" s="15" t="s">
        <v>16</v>
      </c>
      <c r="L56" s="2"/>
    </row>
    <row r="57" spans="1:12" s="16" customFormat="1" ht="31.5" customHeight="1" thickBot="1" x14ac:dyDescent="0.35">
      <c r="A57" s="13">
        <v>52</v>
      </c>
      <c r="B57" s="45" t="s">
        <v>237</v>
      </c>
      <c r="C57" s="62" t="s">
        <v>648</v>
      </c>
      <c r="D57" s="15" t="s">
        <v>106</v>
      </c>
      <c r="E57" s="14" t="s">
        <v>35</v>
      </c>
      <c r="F57" s="15" t="s">
        <v>107</v>
      </c>
      <c r="G57" s="15" t="s">
        <v>14</v>
      </c>
      <c r="H57" s="15">
        <v>7</v>
      </c>
      <c r="I57" s="14" t="s">
        <v>161</v>
      </c>
      <c r="J57" s="14" t="s">
        <v>238</v>
      </c>
      <c r="K57" s="15" t="s">
        <v>16</v>
      </c>
      <c r="L57" s="2"/>
    </row>
    <row r="58" spans="1:12" s="16" customFormat="1" ht="31.5" customHeight="1" thickBot="1" x14ac:dyDescent="0.35">
      <c r="A58" s="13">
        <v>53</v>
      </c>
      <c r="B58" s="45" t="s">
        <v>239</v>
      </c>
      <c r="C58" s="62" t="s">
        <v>650</v>
      </c>
      <c r="D58" s="15" t="s">
        <v>106</v>
      </c>
      <c r="E58" s="14" t="s">
        <v>12</v>
      </c>
      <c r="F58" s="15" t="s">
        <v>110</v>
      </c>
      <c r="G58" s="15" t="s">
        <v>14</v>
      </c>
      <c r="H58" s="15">
        <v>7</v>
      </c>
      <c r="I58" s="14" t="s">
        <v>161</v>
      </c>
      <c r="J58" s="14" t="s">
        <v>238</v>
      </c>
      <c r="K58" s="15" t="s">
        <v>16</v>
      </c>
      <c r="L58" s="2"/>
    </row>
    <row r="59" spans="1:12" s="16" customFormat="1" ht="31.5" customHeight="1" thickBot="1" x14ac:dyDescent="0.35">
      <c r="A59" s="13">
        <v>54</v>
      </c>
      <c r="B59" s="45" t="s">
        <v>240</v>
      </c>
      <c r="C59" s="62" t="s">
        <v>651</v>
      </c>
      <c r="D59" s="15" t="s">
        <v>106</v>
      </c>
      <c r="E59" s="14" t="s">
        <v>12</v>
      </c>
      <c r="F59" s="15" t="s">
        <v>110</v>
      </c>
      <c r="G59" s="15" t="s">
        <v>14</v>
      </c>
      <c r="H59" s="15">
        <v>7</v>
      </c>
      <c r="I59" s="14" t="s">
        <v>161</v>
      </c>
      <c r="J59" s="14" t="s">
        <v>238</v>
      </c>
      <c r="K59" s="15" t="s">
        <v>16</v>
      </c>
      <c r="L59" s="4"/>
    </row>
    <row r="60" spans="1:12" s="16" customFormat="1" ht="31.5" customHeight="1" thickBot="1" x14ac:dyDescent="0.35">
      <c r="A60" s="13">
        <v>55</v>
      </c>
      <c r="B60" s="45" t="s">
        <v>241</v>
      </c>
      <c r="C60" s="61" t="s">
        <v>652</v>
      </c>
      <c r="D60" s="15" t="s">
        <v>106</v>
      </c>
      <c r="E60" s="14" t="s">
        <v>35</v>
      </c>
      <c r="F60" s="15" t="s">
        <v>110</v>
      </c>
      <c r="G60" s="15" t="s">
        <v>14</v>
      </c>
      <c r="H60" s="15">
        <v>7</v>
      </c>
      <c r="I60" s="14" t="s">
        <v>161</v>
      </c>
      <c r="J60" s="14" t="s">
        <v>242</v>
      </c>
      <c r="K60" s="15" t="s">
        <v>16</v>
      </c>
      <c r="L60" s="2"/>
    </row>
    <row r="61" spans="1:12" s="16" customFormat="1" ht="31.5" customHeight="1" thickBot="1" x14ac:dyDescent="0.35">
      <c r="A61" s="13">
        <v>56</v>
      </c>
      <c r="B61" s="45" t="s">
        <v>245</v>
      </c>
      <c r="C61" s="62" t="s">
        <v>653</v>
      </c>
      <c r="D61" s="15" t="s">
        <v>106</v>
      </c>
      <c r="E61" s="14" t="s">
        <v>35</v>
      </c>
      <c r="F61" s="15" t="s">
        <v>185</v>
      </c>
      <c r="G61" s="15" t="s">
        <v>178</v>
      </c>
      <c r="H61" s="15">
        <v>5</v>
      </c>
      <c r="I61" s="14" t="s">
        <v>179</v>
      </c>
      <c r="J61" s="14" t="s">
        <v>244</v>
      </c>
      <c r="K61" s="15" t="s">
        <v>16</v>
      </c>
      <c r="L61" s="2"/>
    </row>
    <row r="62" spans="1:12" s="16" customFormat="1" ht="31.5" customHeight="1" thickBot="1" x14ac:dyDescent="0.35">
      <c r="A62" s="13">
        <v>57</v>
      </c>
      <c r="B62" s="45" t="s">
        <v>246</v>
      </c>
      <c r="C62" s="62" t="s">
        <v>654</v>
      </c>
      <c r="D62" s="15" t="s">
        <v>106</v>
      </c>
      <c r="E62" s="14" t="s">
        <v>12</v>
      </c>
      <c r="F62" s="15" t="s">
        <v>110</v>
      </c>
      <c r="G62" s="15" t="s">
        <v>178</v>
      </c>
      <c r="H62" s="15">
        <v>5</v>
      </c>
      <c r="I62" s="14" t="s">
        <v>179</v>
      </c>
      <c r="J62" s="14" t="s">
        <v>244</v>
      </c>
      <c r="K62" s="15" t="s">
        <v>16</v>
      </c>
      <c r="L62" s="2"/>
    </row>
    <row r="63" spans="1:12" s="16" customFormat="1" ht="31.5" customHeight="1" thickBot="1" x14ac:dyDescent="0.35">
      <c r="A63" s="13">
        <v>58</v>
      </c>
      <c r="B63" s="45" t="s">
        <v>247</v>
      </c>
      <c r="C63" s="62" t="s">
        <v>655</v>
      </c>
      <c r="D63" s="15" t="s">
        <v>106</v>
      </c>
      <c r="E63" s="14" t="s">
        <v>12</v>
      </c>
      <c r="F63" s="15" t="s">
        <v>107</v>
      </c>
      <c r="G63" s="15" t="s">
        <v>14</v>
      </c>
      <c r="H63" s="15">
        <v>7</v>
      </c>
      <c r="I63" s="14" t="s">
        <v>161</v>
      </c>
      <c r="J63" s="14" t="s">
        <v>244</v>
      </c>
      <c r="K63" s="15" t="s">
        <v>16</v>
      </c>
      <c r="L63" s="2"/>
    </row>
    <row r="64" spans="1:12" s="16" customFormat="1" ht="31.5" customHeight="1" thickBot="1" x14ac:dyDescent="0.35">
      <c r="A64" s="13">
        <v>59</v>
      </c>
      <c r="B64" s="118" t="s">
        <v>148</v>
      </c>
      <c r="C64" s="119" t="s">
        <v>583</v>
      </c>
      <c r="D64" s="21" t="s">
        <v>106</v>
      </c>
      <c r="E64" s="21" t="s">
        <v>12</v>
      </c>
      <c r="F64" s="24" t="s">
        <v>107</v>
      </c>
      <c r="G64" s="24" t="s">
        <v>14</v>
      </c>
      <c r="H64" s="24" t="s">
        <v>89</v>
      </c>
      <c r="I64" s="14" t="s">
        <v>161</v>
      </c>
      <c r="J64" s="21" t="s">
        <v>149</v>
      </c>
      <c r="K64" s="24" t="s">
        <v>16</v>
      </c>
      <c r="L64" s="4"/>
    </row>
    <row r="65" spans="1:12" s="16" customFormat="1" ht="31.5" customHeight="1" thickBot="1" x14ac:dyDescent="0.35">
      <c r="A65" s="13">
        <v>60</v>
      </c>
      <c r="B65" s="118" t="s">
        <v>151</v>
      </c>
      <c r="C65" s="119" t="s">
        <v>585</v>
      </c>
      <c r="D65" s="21" t="s">
        <v>106</v>
      </c>
      <c r="E65" s="21" t="s">
        <v>35</v>
      </c>
      <c r="F65" s="24" t="s">
        <v>23</v>
      </c>
      <c r="G65" s="24" t="s">
        <v>14</v>
      </c>
      <c r="H65" s="24" t="s">
        <v>108</v>
      </c>
      <c r="I65" s="14" t="s">
        <v>161</v>
      </c>
      <c r="J65" s="21" t="s">
        <v>98</v>
      </c>
      <c r="K65" s="24" t="s">
        <v>16</v>
      </c>
      <c r="L65" s="4"/>
    </row>
    <row r="66" spans="1:12" s="16" customFormat="1" ht="31.5" customHeight="1" thickBot="1" x14ac:dyDescent="0.35">
      <c r="A66" s="13">
        <v>61</v>
      </c>
      <c r="B66" s="134" t="s">
        <v>248</v>
      </c>
      <c r="C66" s="135" t="s">
        <v>656</v>
      </c>
      <c r="D66" s="14" t="s">
        <v>87</v>
      </c>
      <c r="E66" s="14" t="s">
        <v>35</v>
      </c>
      <c r="F66" s="15" t="s">
        <v>88</v>
      </c>
      <c r="G66" s="15" t="s">
        <v>14</v>
      </c>
      <c r="H66" s="15">
        <v>7</v>
      </c>
      <c r="I66" s="14" t="s">
        <v>249</v>
      </c>
      <c r="J66" s="14" t="s">
        <v>221</v>
      </c>
      <c r="K66" s="15" t="s">
        <v>16</v>
      </c>
      <c r="L66" s="2"/>
    </row>
    <row r="67" spans="1:12" s="16" customFormat="1" ht="31.5" customHeight="1" thickBot="1" x14ac:dyDescent="0.35">
      <c r="A67" s="13">
        <v>62</v>
      </c>
      <c r="B67" s="45" t="s">
        <v>250</v>
      </c>
      <c r="C67" s="62" t="s">
        <v>657</v>
      </c>
      <c r="D67" s="14" t="s">
        <v>87</v>
      </c>
      <c r="E67" s="14" t="s">
        <v>35</v>
      </c>
      <c r="F67" s="15" t="s">
        <v>88</v>
      </c>
      <c r="G67" s="15" t="s">
        <v>14</v>
      </c>
      <c r="H67" s="15">
        <v>7</v>
      </c>
      <c r="I67" s="14" t="s">
        <v>249</v>
      </c>
      <c r="J67" s="14" t="s">
        <v>221</v>
      </c>
      <c r="K67" s="15" t="s">
        <v>16</v>
      </c>
      <c r="L67" s="2"/>
    </row>
    <row r="68" spans="1:12" s="16" customFormat="1" ht="31.5" customHeight="1" thickBot="1" x14ac:dyDescent="0.35">
      <c r="A68" s="13">
        <v>63</v>
      </c>
      <c r="B68" s="45" t="s">
        <v>251</v>
      </c>
      <c r="C68" s="61" t="s">
        <v>726</v>
      </c>
      <c r="D68" s="14" t="s">
        <v>87</v>
      </c>
      <c r="E68" s="14" t="s">
        <v>12</v>
      </c>
      <c r="F68" s="15" t="s">
        <v>88</v>
      </c>
      <c r="G68" s="15" t="s">
        <v>14</v>
      </c>
      <c r="H68" s="15">
        <v>7</v>
      </c>
      <c r="I68" s="14" t="s">
        <v>249</v>
      </c>
      <c r="J68" s="14" t="s">
        <v>221</v>
      </c>
      <c r="K68" s="15" t="s">
        <v>16</v>
      </c>
      <c r="L68" s="2"/>
    </row>
    <row r="69" spans="1:12" s="16" customFormat="1" ht="31.5" customHeight="1" thickBot="1" x14ac:dyDescent="0.35">
      <c r="A69" s="13">
        <v>64</v>
      </c>
      <c r="B69" s="45" t="s">
        <v>252</v>
      </c>
      <c r="C69" s="61" t="s">
        <v>727</v>
      </c>
      <c r="D69" s="14" t="s">
        <v>87</v>
      </c>
      <c r="E69" s="14" t="s">
        <v>35</v>
      </c>
      <c r="F69" s="15" t="s">
        <v>88</v>
      </c>
      <c r="G69" s="15" t="s">
        <v>14</v>
      </c>
      <c r="H69" s="15">
        <v>7</v>
      </c>
      <c r="I69" s="14" t="s">
        <v>249</v>
      </c>
      <c r="J69" s="14" t="s">
        <v>221</v>
      </c>
      <c r="K69" s="15" t="s">
        <v>16</v>
      </c>
      <c r="L69" s="2"/>
    </row>
    <row r="70" spans="1:12" s="16" customFormat="1" ht="31.5" customHeight="1" thickBot="1" x14ac:dyDescent="0.35">
      <c r="A70" s="13">
        <v>65</v>
      </c>
      <c r="B70" s="45" t="s">
        <v>253</v>
      </c>
      <c r="C70" s="61" t="s">
        <v>728</v>
      </c>
      <c r="D70" s="14" t="s">
        <v>87</v>
      </c>
      <c r="E70" s="14" t="s">
        <v>12</v>
      </c>
      <c r="F70" s="15" t="s">
        <v>88</v>
      </c>
      <c r="G70" s="15" t="s">
        <v>14</v>
      </c>
      <c r="H70" s="15">
        <v>7</v>
      </c>
      <c r="I70" s="14" t="s">
        <v>249</v>
      </c>
      <c r="J70" s="14" t="s">
        <v>221</v>
      </c>
      <c r="K70" s="15" t="s">
        <v>16</v>
      </c>
      <c r="L70" s="2"/>
    </row>
    <row r="71" spans="1:12" s="16" customFormat="1" ht="31.5" customHeight="1" thickBot="1" x14ac:dyDescent="0.35">
      <c r="A71" s="13">
        <v>66</v>
      </c>
      <c r="B71" s="45" t="s">
        <v>254</v>
      </c>
      <c r="C71" s="61" t="s">
        <v>729</v>
      </c>
      <c r="D71" s="14" t="s">
        <v>87</v>
      </c>
      <c r="E71" s="14" t="s">
        <v>12</v>
      </c>
      <c r="F71" s="15" t="s">
        <v>255</v>
      </c>
      <c r="G71" s="15" t="s">
        <v>178</v>
      </c>
      <c r="H71" s="15">
        <v>5</v>
      </c>
      <c r="I71" s="14" t="s">
        <v>179</v>
      </c>
      <c r="J71" s="14" t="s">
        <v>221</v>
      </c>
      <c r="K71" s="15" t="s">
        <v>16</v>
      </c>
      <c r="L71" s="2"/>
    </row>
    <row r="72" spans="1:12" s="16" customFormat="1" ht="42.75" customHeight="1" thickBot="1" x14ac:dyDescent="0.35">
      <c r="A72" s="13">
        <v>67</v>
      </c>
      <c r="B72" s="45" t="s">
        <v>256</v>
      </c>
      <c r="C72" s="61" t="s">
        <v>730</v>
      </c>
      <c r="D72" s="14" t="s">
        <v>87</v>
      </c>
      <c r="E72" s="14" t="s">
        <v>12</v>
      </c>
      <c r="F72" s="15" t="s">
        <v>88</v>
      </c>
      <c r="G72" s="15" t="s">
        <v>14</v>
      </c>
      <c r="H72" s="15">
        <v>7</v>
      </c>
      <c r="I72" s="14" t="s">
        <v>249</v>
      </c>
      <c r="J72" s="14" t="s">
        <v>218</v>
      </c>
      <c r="K72" s="15" t="s">
        <v>16</v>
      </c>
      <c r="L72" s="2"/>
    </row>
    <row r="73" spans="1:12" s="16" customFormat="1" ht="42.75" customHeight="1" thickBot="1" x14ac:dyDescent="0.35">
      <c r="A73" s="13">
        <v>68</v>
      </c>
      <c r="B73" s="45" t="s">
        <v>257</v>
      </c>
      <c r="C73" s="61" t="s">
        <v>731</v>
      </c>
      <c r="D73" s="14" t="s">
        <v>87</v>
      </c>
      <c r="E73" s="14" t="s">
        <v>35</v>
      </c>
      <c r="F73" s="15" t="s">
        <v>88</v>
      </c>
      <c r="G73" s="15" t="s">
        <v>14</v>
      </c>
      <c r="H73" s="15">
        <v>7</v>
      </c>
      <c r="I73" s="14" t="s">
        <v>249</v>
      </c>
      <c r="J73" s="14" t="s">
        <v>218</v>
      </c>
      <c r="K73" s="15" t="s">
        <v>16</v>
      </c>
      <c r="L73" s="2"/>
    </row>
    <row r="74" spans="1:12" s="16" customFormat="1" ht="42.75" customHeight="1" thickBot="1" x14ac:dyDescent="0.35">
      <c r="A74" s="13">
        <v>69</v>
      </c>
      <c r="B74" s="45" t="s">
        <v>258</v>
      </c>
      <c r="C74" s="61" t="s">
        <v>732</v>
      </c>
      <c r="D74" s="14" t="s">
        <v>87</v>
      </c>
      <c r="E74" s="14" t="s">
        <v>35</v>
      </c>
      <c r="F74" s="15" t="s">
        <v>88</v>
      </c>
      <c r="G74" s="15" t="s">
        <v>14</v>
      </c>
      <c r="H74" s="15">
        <v>7</v>
      </c>
      <c r="I74" s="14" t="s">
        <v>249</v>
      </c>
      <c r="J74" s="14" t="s">
        <v>218</v>
      </c>
      <c r="K74" s="15" t="s">
        <v>16</v>
      </c>
      <c r="L74" s="2"/>
    </row>
    <row r="75" spans="1:12" s="16" customFormat="1" ht="42.75" customHeight="1" thickBot="1" x14ac:dyDescent="0.35">
      <c r="A75" s="13">
        <v>70</v>
      </c>
      <c r="B75" s="45" t="s">
        <v>259</v>
      </c>
      <c r="C75" s="61" t="s">
        <v>733</v>
      </c>
      <c r="D75" s="14" t="s">
        <v>87</v>
      </c>
      <c r="E75" s="14" t="s">
        <v>35</v>
      </c>
      <c r="F75" s="15" t="s">
        <v>88</v>
      </c>
      <c r="G75" s="15" t="s">
        <v>14</v>
      </c>
      <c r="H75" s="15">
        <v>7</v>
      </c>
      <c r="I75" s="14" t="s">
        <v>249</v>
      </c>
      <c r="J75" s="14" t="s">
        <v>218</v>
      </c>
      <c r="K75" s="15" t="s">
        <v>16</v>
      </c>
      <c r="L75" s="4"/>
    </row>
    <row r="76" spans="1:12" s="16" customFormat="1" ht="42.75" customHeight="1" thickBot="1" x14ac:dyDescent="0.35">
      <c r="A76" s="13">
        <v>71</v>
      </c>
      <c r="B76" s="45" t="s">
        <v>260</v>
      </c>
      <c r="C76" s="61" t="s">
        <v>734</v>
      </c>
      <c r="D76" s="14" t="s">
        <v>87</v>
      </c>
      <c r="E76" s="14" t="s">
        <v>35</v>
      </c>
      <c r="F76" s="15" t="s">
        <v>88</v>
      </c>
      <c r="G76" s="15" t="s">
        <v>14</v>
      </c>
      <c r="H76" s="15">
        <v>7</v>
      </c>
      <c r="I76" s="14" t="s">
        <v>249</v>
      </c>
      <c r="J76" s="14" t="s">
        <v>218</v>
      </c>
      <c r="K76" s="15" t="s">
        <v>16</v>
      </c>
      <c r="L76" s="4"/>
    </row>
    <row r="77" spans="1:12" s="16" customFormat="1" ht="42.75" customHeight="1" thickBot="1" x14ac:dyDescent="0.35">
      <c r="A77" s="13">
        <v>72</v>
      </c>
      <c r="B77" s="45" t="s">
        <v>261</v>
      </c>
      <c r="C77" s="61" t="s">
        <v>735</v>
      </c>
      <c r="D77" s="14" t="s">
        <v>87</v>
      </c>
      <c r="E77" s="14" t="s">
        <v>12</v>
      </c>
      <c r="F77" s="15" t="s">
        <v>88</v>
      </c>
      <c r="G77" s="15" t="s">
        <v>14</v>
      </c>
      <c r="H77" s="15">
        <v>7</v>
      </c>
      <c r="I77" s="14" t="s">
        <v>249</v>
      </c>
      <c r="J77" s="14" t="s">
        <v>200</v>
      </c>
      <c r="K77" s="15" t="s">
        <v>16</v>
      </c>
      <c r="L77" s="4"/>
    </row>
    <row r="78" spans="1:12" s="16" customFormat="1" ht="42.75" customHeight="1" thickBot="1" x14ac:dyDescent="0.35">
      <c r="A78" s="13">
        <v>73</v>
      </c>
      <c r="B78" s="45" t="s">
        <v>262</v>
      </c>
      <c r="C78" s="61" t="s">
        <v>736</v>
      </c>
      <c r="D78" s="14" t="s">
        <v>87</v>
      </c>
      <c r="E78" s="14" t="s">
        <v>35</v>
      </c>
      <c r="F78" s="15" t="s">
        <v>88</v>
      </c>
      <c r="G78" s="15" t="s">
        <v>14</v>
      </c>
      <c r="H78" s="15">
        <v>7</v>
      </c>
      <c r="I78" s="14" t="s">
        <v>249</v>
      </c>
      <c r="J78" s="14" t="s">
        <v>200</v>
      </c>
      <c r="K78" s="15" t="s">
        <v>16</v>
      </c>
      <c r="L78" s="4"/>
    </row>
    <row r="79" spans="1:12" s="16" customFormat="1" ht="42.75" customHeight="1" thickBot="1" x14ac:dyDescent="0.35">
      <c r="A79" s="13">
        <v>74</v>
      </c>
      <c r="B79" s="45" t="s">
        <v>263</v>
      </c>
      <c r="C79" s="61" t="s">
        <v>740</v>
      </c>
      <c r="D79" s="14" t="s">
        <v>87</v>
      </c>
      <c r="E79" s="14" t="s">
        <v>35</v>
      </c>
      <c r="F79" s="15" t="s">
        <v>88</v>
      </c>
      <c r="G79" s="15" t="s">
        <v>14</v>
      </c>
      <c r="H79" s="15">
        <v>7</v>
      </c>
      <c r="I79" s="14" t="s">
        <v>249</v>
      </c>
      <c r="J79" s="14" t="s">
        <v>200</v>
      </c>
      <c r="K79" s="15" t="s">
        <v>16</v>
      </c>
      <c r="L79" s="4"/>
    </row>
    <row r="80" spans="1:12" s="16" customFormat="1" ht="42.75" customHeight="1" thickBot="1" x14ac:dyDescent="0.35">
      <c r="A80" s="13">
        <v>75</v>
      </c>
      <c r="B80" s="45" t="s">
        <v>264</v>
      </c>
      <c r="C80" s="61" t="s">
        <v>741</v>
      </c>
      <c r="D80" s="14" t="s">
        <v>87</v>
      </c>
      <c r="E80" s="14" t="s">
        <v>35</v>
      </c>
      <c r="F80" s="15" t="s">
        <v>88</v>
      </c>
      <c r="G80" s="15" t="s">
        <v>14</v>
      </c>
      <c r="H80" s="15">
        <v>7</v>
      </c>
      <c r="I80" s="14" t="s">
        <v>249</v>
      </c>
      <c r="J80" s="14" t="s">
        <v>98</v>
      </c>
      <c r="K80" s="15" t="s">
        <v>16</v>
      </c>
      <c r="L80" s="4"/>
    </row>
    <row r="81" spans="1:12" s="16" customFormat="1" ht="42.75" customHeight="1" thickBot="1" x14ac:dyDescent="0.35">
      <c r="A81" s="13">
        <v>76</v>
      </c>
      <c r="B81" s="45" t="s">
        <v>265</v>
      </c>
      <c r="C81" s="61" t="s">
        <v>737</v>
      </c>
      <c r="D81" s="14" t="s">
        <v>87</v>
      </c>
      <c r="E81" s="14" t="s">
        <v>12</v>
      </c>
      <c r="F81" s="15" t="s">
        <v>88</v>
      </c>
      <c r="G81" s="15" t="s">
        <v>14</v>
      </c>
      <c r="H81" s="15">
        <v>7</v>
      </c>
      <c r="I81" s="14" t="s">
        <v>249</v>
      </c>
      <c r="J81" s="14" t="s">
        <v>98</v>
      </c>
      <c r="K81" s="15" t="s">
        <v>16</v>
      </c>
      <c r="L81" s="4"/>
    </row>
    <row r="82" spans="1:12" s="16" customFormat="1" ht="42.75" customHeight="1" thickBot="1" x14ac:dyDescent="0.35">
      <c r="A82" s="13">
        <v>77</v>
      </c>
      <c r="B82" s="45" t="s">
        <v>266</v>
      </c>
      <c r="C82" s="61" t="s">
        <v>738</v>
      </c>
      <c r="D82" s="14" t="s">
        <v>87</v>
      </c>
      <c r="E82" s="14" t="s">
        <v>35</v>
      </c>
      <c r="F82" s="15" t="s">
        <v>88</v>
      </c>
      <c r="G82" s="15" t="s">
        <v>14</v>
      </c>
      <c r="H82" s="15">
        <v>7</v>
      </c>
      <c r="I82" s="14" t="s">
        <v>249</v>
      </c>
      <c r="J82" s="14" t="s">
        <v>98</v>
      </c>
      <c r="K82" s="15" t="s">
        <v>16</v>
      </c>
      <c r="L82" s="4"/>
    </row>
    <row r="83" spans="1:12" s="16" customFormat="1" ht="42.75" customHeight="1" thickBot="1" x14ac:dyDescent="0.35">
      <c r="A83" s="13">
        <v>78</v>
      </c>
      <c r="B83" s="45" t="s">
        <v>267</v>
      </c>
      <c r="C83" s="61" t="s">
        <v>739</v>
      </c>
      <c r="D83" s="14" t="s">
        <v>87</v>
      </c>
      <c r="E83" s="14" t="s">
        <v>35</v>
      </c>
      <c r="F83" s="15" t="s">
        <v>88</v>
      </c>
      <c r="G83" s="15" t="s">
        <v>14</v>
      </c>
      <c r="H83" s="15">
        <v>7</v>
      </c>
      <c r="I83" s="14" t="s">
        <v>249</v>
      </c>
      <c r="J83" s="14" t="s">
        <v>98</v>
      </c>
      <c r="K83" s="15" t="s">
        <v>16</v>
      </c>
      <c r="L83" s="4"/>
    </row>
    <row r="84" spans="1:12" s="16" customFormat="1" ht="42.75" customHeight="1" thickBot="1" x14ac:dyDescent="0.35">
      <c r="A84" s="13">
        <v>79</v>
      </c>
      <c r="B84" s="45" t="s">
        <v>268</v>
      </c>
      <c r="C84" s="62" t="s">
        <v>658</v>
      </c>
      <c r="D84" s="14" t="s">
        <v>87</v>
      </c>
      <c r="E84" s="14" t="s">
        <v>35</v>
      </c>
      <c r="F84" s="15" t="s">
        <v>88</v>
      </c>
      <c r="G84" s="15" t="s">
        <v>14</v>
      </c>
      <c r="H84" s="15">
        <v>7</v>
      </c>
      <c r="I84" s="14" t="s">
        <v>249</v>
      </c>
      <c r="J84" s="14" t="s">
        <v>98</v>
      </c>
      <c r="K84" s="15" t="s">
        <v>16</v>
      </c>
      <c r="L84" s="4"/>
    </row>
    <row r="85" spans="1:12" s="16" customFormat="1" ht="42.75" customHeight="1" thickBot="1" x14ac:dyDescent="0.35">
      <c r="A85" s="13">
        <v>80</v>
      </c>
      <c r="B85" s="45" t="s">
        <v>269</v>
      </c>
      <c r="C85" s="61" t="s">
        <v>659</v>
      </c>
      <c r="D85" s="14" t="s">
        <v>87</v>
      </c>
      <c r="E85" s="14" t="s">
        <v>35</v>
      </c>
      <c r="F85" s="15" t="s">
        <v>88</v>
      </c>
      <c r="G85" s="15" t="s">
        <v>14</v>
      </c>
      <c r="H85" s="15">
        <v>7</v>
      </c>
      <c r="I85" s="14" t="s">
        <v>249</v>
      </c>
      <c r="J85" s="14" t="s">
        <v>98</v>
      </c>
      <c r="K85" s="15" t="s">
        <v>16</v>
      </c>
      <c r="L85" s="4"/>
    </row>
    <row r="86" spans="1:12" s="16" customFormat="1" ht="42.75" customHeight="1" thickBot="1" x14ac:dyDescent="0.35">
      <c r="A86" s="13">
        <v>81</v>
      </c>
      <c r="B86" s="45" t="s">
        <v>270</v>
      </c>
      <c r="C86" s="62" t="s">
        <v>660</v>
      </c>
      <c r="D86" s="14" t="s">
        <v>87</v>
      </c>
      <c r="E86" s="14" t="s">
        <v>35</v>
      </c>
      <c r="F86" s="15" t="s">
        <v>88</v>
      </c>
      <c r="G86" s="15" t="s">
        <v>14</v>
      </c>
      <c r="H86" s="15">
        <v>7</v>
      </c>
      <c r="I86" s="14" t="s">
        <v>249</v>
      </c>
      <c r="J86" s="14" t="s">
        <v>98</v>
      </c>
      <c r="K86" s="15" t="s">
        <v>16</v>
      </c>
      <c r="L86" s="4"/>
    </row>
    <row r="87" spans="1:12" s="16" customFormat="1" ht="42.75" customHeight="1" thickBot="1" x14ac:dyDescent="0.35">
      <c r="A87" s="13">
        <v>82</v>
      </c>
      <c r="B87" s="45" t="s">
        <v>271</v>
      </c>
      <c r="C87" s="62" t="s">
        <v>661</v>
      </c>
      <c r="D87" s="14" t="s">
        <v>87</v>
      </c>
      <c r="E87" s="14" t="s">
        <v>35</v>
      </c>
      <c r="F87" s="15" t="s">
        <v>88</v>
      </c>
      <c r="G87" s="15" t="s">
        <v>14</v>
      </c>
      <c r="H87" s="15">
        <v>7</v>
      </c>
      <c r="I87" s="14" t="s">
        <v>249</v>
      </c>
      <c r="J87" s="14" t="s">
        <v>98</v>
      </c>
      <c r="K87" s="15" t="s">
        <v>16</v>
      </c>
      <c r="L87" s="4"/>
    </row>
    <row r="88" spans="1:12" s="16" customFormat="1" ht="42.75" customHeight="1" thickBot="1" x14ac:dyDescent="0.35">
      <c r="A88" s="13">
        <v>83</v>
      </c>
      <c r="B88" s="45" t="s">
        <v>272</v>
      </c>
      <c r="C88" s="62" t="s">
        <v>662</v>
      </c>
      <c r="D88" s="14" t="s">
        <v>87</v>
      </c>
      <c r="E88" s="14" t="s">
        <v>35</v>
      </c>
      <c r="F88" s="15" t="s">
        <v>88</v>
      </c>
      <c r="G88" s="15" t="s">
        <v>14</v>
      </c>
      <c r="H88" s="15">
        <v>7</v>
      </c>
      <c r="I88" s="14" t="s">
        <v>249</v>
      </c>
      <c r="J88" s="14" t="s">
        <v>98</v>
      </c>
      <c r="K88" s="15" t="s">
        <v>16</v>
      </c>
      <c r="L88" s="4"/>
    </row>
    <row r="89" spans="1:12" s="16" customFormat="1" ht="42.75" customHeight="1" thickBot="1" x14ac:dyDescent="0.35">
      <c r="A89" s="13">
        <v>84</v>
      </c>
      <c r="B89" s="45" t="s">
        <v>273</v>
      </c>
      <c r="C89" s="62" t="s">
        <v>663</v>
      </c>
      <c r="D89" s="14" t="s">
        <v>87</v>
      </c>
      <c r="E89" s="14" t="s">
        <v>12</v>
      </c>
      <c r="F89" s="15" t="s">
        <v>88</v>
      </c>
      <c r="G89" s="15" t="s">
        <v>14</v>
      </c>
      <c r="H89" s="15">
        <v>7</v>
      </c>
      <c r="I89" s="14" t="s">
        <v>249</v>
      </c>
      <c r="J89" s="14" t="s">
        <v>98</v>
      </c>
      <c r="K89" s="15" t="s">
        <v>16</v>
      </c>
      <c r="L89" s="4"/>
    </row>
    <row r="90" spans="1:12" s="16" customFormat="1" ht="42.75" customHeight="1" thickBot="1" x14ac:dyDescent="0.35">
      <c r="A90" s="13">
        <v>85</v>
      </c>
      <c r="B90" s="45" t="s">
        <v>274</v>
      </c>
      <c r="C90" s="62" t="s">
        <v>664</v>
      </c>
      <c r="D90" s="14" t="s">
        <v>87</v>
      </c>
      <c r="E90" s="14" t="s">
        <v>35</v>
      </c>
      <c r="F90" s="15" t="s">
        <v>88</v>
      </c>
      <c r="G90" s="15" t="s">
        <v>14</v>
      </c>
      <c r="H90" s="15">
        <v>7</v>
      </c>
      <c r="I90" s="14" t="s">
        <v>249</v>
      </c>
      <c r="J90" s="14" t="s">
        <v>98</v>
      </c>
      <c r="K90" s="15" t="s">
        <v>16</v>
      </c>
      <c r="L90" s="4"/>
    </row>
    <row r="91" spans="1:12" s="16" customFormat="1" ht="42.75" customHeight="1" thickBot="1" x14ac:dyDescent="0.35">
      <c r="A91" s="13">
        <v>86</v>
      </c>
      <c r="B91" s="45" t="s">
        <v>275</v>
      </c>
      <c r="C91" s="62" t="s">
        <v>665</v>
      </c>
      <c r="D91" s="14" t="s">
        <v>87</v>
      </c>
      <c r="E91" s="14" t="s">
        <v>12</v>
      </c>
      <c r="F91" s="15" t="s">
        <v>88</v>
      </c>
      <c r="G91" s="15" t="s">
        <v>14</v>
      </c>
      <c r="H91" s="15">
        <v>7</v>
      </c>
      <c r="I91" s="14" t="s">
        <v>249</v>
      </c>
      <c r="J91" s="14" t="s">
        <v>98</v>
      </c>
      <c r="K91" s="15" t="s">
        <v>16</v>
      </c>
      <c r="L91" s="4"/>
    </row>
    <row r="92" spans="1:12" s="16" customFormat="1" ht="42.75" customHeight="1" thickBot="1" x14ac:dyDescent="0.35">
      <c r="A92" s="13">
        <v>87</v>
      </c>
      <c r="B92" s="45" t="s">
        <v>276</v>
      </c>
      <c r="C92" s="62" t="s">
        <v>666</v>
      </c>
      <c r="D92" s="14" t="s">
        <v>87</v>
      </c>
      <c r="E92" s="14" t="s">
        <v>35</v>
      </c>
      <c r="F92" s="15" t="s">
        <v>88</v>
      </c>
      <c r="G92" s="15" t="s">
        <v>14</v>
      </c>
      <c r="H92" s="15">
        <v>7</v>
      </c>
      <c r="I92" s="14" t="s">
        <v>249</v>
      </c>
      <c r="J92" s="14" t="s">
        <v>198</v>
      </c>
      <c r="K92" s="15" t="s">
        <v>16</v>
      </c>
      <c r="L92" s="4"/>
    </row>
    <row r="93" spans="1:12" s="16" customFormat="1" ht="42.75" customHeight="1" thickBot="1" x14ac:dyDescent="0.35">
      <c r="A93" s="13">
        <v>88</v>
      </c>
      <c r="B93" s="45" t="s">
        <v>277</v>
      </c>
      <c r="C93" s="62" t="s">
        <v>667</v>
      </c>
      <c r="D93" s="14" t="s">
        <v>87</v>
      </c>
      <c r="E93" s="14" t="s">
        <v>12</v>
      </c>
      <c r="F93" s="15" t="s">
        <v>88</v>
      </c>
      <c r="G93" s="15" t="s">
        <v>14</v>
      </c>
      <c r="H93" s="15">
        <v>7</v>
      </c>
      <c r="I93" s="14" t="s">
        <v>249</v>
      </c>
      <c r="J93" s="14" t="s">
        <v>198</v>
      </c>
      <c r="K93" s="15" t="s">
        <v>16</v>
      </c>
      <c r="L93" s="4"/>
    </row>
    <row r="94" spans="1:12" s="16" customFormat="1" ht="42.75" customHeight="1" thickBot="1" x14ac:dyDescent="0.35">
      <c r="A94" s="13">
        <v>89</v>
      </c>
      <c r="B94" s="45" t="s">
        <v>278</v>
      </c>
      <c r="C94" s="62" t="s">
        <v>668</v>
      </c>
      <c r="D94" s="14" t="s">
        <v>87</v>
      </c>
      <c r="E94" s="14" t="s">
        <v>12</v>
      </c>
      <c r="F94" s="15" t="s">
        <v>88</v>
      </c>
      <c r="G94" s="15" t="s">
        <v>14</v>
      </c>
      <c r="H94" s="15">
        <v>7</v>
      </c>
      <c r="I94" s="14" t="s">
        <v>249</v>
      </c>
      <c r="J94" s="14" t="s">
        <v>191</v>
      </c>
      <c r="K94" s="15" t="s">
        <v>16</v>
      </c>
      <c r="L94" s="4"/>
    </row>
    <row r="95" spans="1:12" s="16" customFormat="1" ht="42.75" customHeight="1" thickBot="1" x14ac:dyDescent="0.35">
      <c r="A95" s="13">
        <v>90</v>
      </c>
      <c r="B95" s="45" t="s">
        <v>279</v>
      </c>
      <c r="C95" s="62" t="s">
        <v>669</v>
      </c>
      <c r="D95" s="14" t="s">
        <v>87</v>
      </c>
      <c r="E95" s="14" t="s">
        <v>12</v>
      </c>
      <c r="F95" s="15" t="s">
        <v>88</v>
      </c>
      <c r="G95" s="15" t="s">
        <v>14</v>
      </c>
      <c r="H95" s="15">
        <v>7</v>
      </c>
      <c r="I95" s="14" t="s">
        <v>249</v>
      </c>
      <c r="J95" s="14" t="s">
        <v>191</v>
      </c>
      <c r="K95" s="15" t="s">
        <v>16</v>
      </c>
      <c r="L95" s="4"/>
    </row>
    <row r="96" spans="1:12" s="16" customFormat="1" ht="42.75" customHeight="1" thickBot="1" x14ac:dyDescent="0.35">
      <c r="A96" s="13">
        <v>91</v>
      </c>
      <c r="B96" s="45" t="s">
        <v>280</v>
      </c>
      <c r="C96" s="62" t="s">
        <v>670</v>
      </c>
      <c r="D96" s="14" t="s">
        <v>87</v>
      </c>
      <c r="E96" s="14" t="s">
        <v>12</v>
      </c>
      <c r="F96" s="15" t="s">
        <v>88</v>
      </c>
      <c r="G96" s="15" t="s">
        <v>14</v>
      </c>
      <c r="H96" s="15">
        <v>7</v>
      </c>
      <c r="I96" s="14" t="s">
        <v>249</v>
      </c>
      <c r="J96" s="14" t="s">
        <v>191</v>
      </c>
      <c r="K96" s="15" t="s">
        <v>16</v>
      </c>
      <c r="L96" s="4"/>
    </row>
    <row r="97" spans="1:12" s="16" customFormat="1" ht="42.75" customHeight="1" thickBot="1" x14ac:dyDescent="0.35">
      <c r="A97" s="13">
        <v>92</v>
      </c>
      <c r="B97" s="45" t="s">
        <v>281</v>
      </c>
      <c r="C97" s="62" t="s">
        <v>671</v>
      </c>
      <c r="D97" s="14" t="s">
        <v>87</v>
      </c>
      <c r="E97" s="14" t="s">
        <v>12</v>
      </c>
      <c r="F97" s="15" t="s">
        <v>255</v>
      </c>
      <c r="G97" s="15" t="s">
        <v>178</v>
      </c>
      <c r="H97" s="15">
        <v>5</v>
      </c>
      <c r="I97" s="14" t="s">
        <v>179</v>
      </c>
      <c r="J97" s="14" t="s">
        <v>156</v>
      </c>
      <c r="K97" s="15" t="s">
        <v>16</v>
      </c>
      <c r="L97" s="4"/>
    </row>
    <row r="98" spans="1:12" s="16" customFormat="1" ht="42.75" customHeight="1" thickBot="1" x14ac:dyDescent="0.35">
      <c r="A98" s="13">
        <v>93</v>
      </c>
      <c r="B98" s="45" t="s">
        <v>282</v>
      </c>
      <c r="C98" s="62" t="s">
        <v>745</v>
      </c>
      <c r="D98" s="14" t="s">
        <v>87</v>
      </c>
      <c r="E98" s="14" t="s">
        <v>35</v>
      </c>
      <c r="F98" s="15" t="s">
        <v>255</v>
      </c>
      <c r="G98" s="15" t="s">
        <v>178</v>
      </c>
      <c r="H98" s="15">
        <v>5</v>
      </c>
      <c r="I98" s="14" t="s">
        <v>179</v>
      </c>
      <c r="J98" s="14" t="s">
        <v>156</v>
      </c>
      <c r="K98" s="15" t="s">
        <v>16</v>
      </c>
      <c r="L98" s="4"/>
    </row>
    <row r="99" spans="1:12" s="16" customFormat="1" ht="42.75" customHeight="1" thickBot="1" x14ac:dyDescent="0.35">
      <c r="A99" s="13">
        <v>94</v>
      </c>
      <c r="B99" s="45" t="s">
        <v>283</v>
      </c>
      <c r="C99" s="62" t="s">
        <v>744</v>
      </c>
      <c r="D99" s="14" t="s">
        <v>87</v>
      </c>
      <c r="E99" s="14" t="s">
        <v>12</v>
      </c>
      <c r="F99" s="15" t="s">
        <v>88</v>
      </c>
      <c r="G99" s="15" t="s">
        <v>14</v>
      </c>
      <c r="H99" s="15">
        <v>7</v>
      </c>
      <c r="I99" s="14" t="s">
        <v>249</v>
      </c>
      <c r="J99" s="14" t="s">
        <v>230</v>
      </c>
      <c r="K99" s="15" t="s">
        <v>16</v>
      </c>
      <c r="L99" s="4"/>
    </row>
    <row r="100" spans="1:12" s="16" customFormat="1" ht="42.75" customHeight="1" thickBot="1" x14ac:dyDescent="0.35">
      <c r="A100" s="13">
        <v>95</v>
      </c>
      <c r="B100" s="45" t="s">
        <v>284</v>
      </c>
      <c r="C100" s="62" t="s">
        <v>672</v>
      </c>
      <c r="D100" s="14" t="s">
        <v>87</v>
      </c>
      <c r="E100" s="14" t="s">
        <v>35</v>
      </c>
      <c r="F100" s="15" t="s">
        <v>88</v>
      </c>
      <c r="G100" s="15" t="s">
        <v>14</v>
      </c>
      <c r="H100" s="15">
        <v>7</v>
      </c>
      <c r="I100" s="14" t="s">
        <v>249</v>
      </c>
      <c r="J100" s="14" t="s">
        <v>230</v>
      </c>
      <c r="K100" s="15" t="s">
        <v>16</v>
      </c>
      <c r="L100" s="4"/>
    </row>
    <row r="101" spans="1:12" s="16" customFormat="1" ht="42.75" customHeight="1" thickBot="1" x14ac:dyDescent="0.35">
      <c r="A101" s="13">
        <v>96</v>
      </c>
      <c r="B101" s="45" t="s">
        <v>285</v>
      </c>
      <c r="C101" s="61" t="s">
        <v>743</v>
      </c>
      <c r="D101" s="14" t="s">
        <v>87</v>
      </c>
      <c r="E101" s="14" t="s">
        <v>12</v>
      </c>
      <c r="F101" s="15" t="s">
        <v>88</v>
      </c>
      <c r="G101" s="15" t="s">
        <v>14</v>
      </c>
      <c r="H101" s="15">
        <v>7</v>
      </c>
      <c r="I101" s="14" t="s">
        <v>249</v>
      </c>
      <c r="J101" s="14" t="s">
        <v>230</v>
      </c>
      <c r="K101" s="15" t="s">
        <v>16</v>
      </c>
      <c r="L101" s="4"/>
    </row>
    <row r="102" spans="1:12" s="16" customFormat="1" ht="42.75" customHeight="1" thickBot="1" x14ac:dyDescent="0.35">
      <c r="A102" s="13">
        <v>97</v>
      </c>
      <c r="B102" s="45" t="s">
        <v>286</v>
      </c>
      <c r="C102" s="61" t="s">
        <v>742</v>
      </c>
      <c r="D102" s="14" t="s">
        <v>87</v>
      </c>
      <c r="E102" s="14" t="s">
        <v>35</v>
      </c>
      <c r="F102" s="15" t="s">
        <v>88</v>
      </c>
      <c r="G102" s="15" t="s">
        <v>14</v>
      </c>
      <c r="H102" s="15">
        <v>7</v>
      </c>
      <c r="I102" s="14" t="s">
        <v>249</v>
      </c>
      <c r="J102" s="14" t="s">
        <v>230</v>
      </c>
      <c r="K102" s="15" t="s">
        <v>16</v>
      </c>
      <c r="L102" s="4"/>
    </row>
    <row r="103" spans="1:12" s="16" customFormat="1" ht="42.75" customHeight="1" thickBot="1" x14ac:dyDescent="0.35">
      <c r="A103" s="13">
        <v>98</v>
      </c>
      <c r="B103" s="45" t="s">
        <v>287</v>
      </c>
      <c r="C103" s="62" t="s">
        <v>673</v>
      </c>
      <c r="D103" s="14" t="s">
        <v>87</v>
      </c>
      <c r="E103" s="14" t="s">
        <v>35</v>
      </c>
      <c r="F103" s="15" t="s">
        <v>88</v>
      </c>
      <c r="G103" s="15" t="s">
        <v>14</v>
      </c>
      <c r="H103" s="15">
        <v>7</v>
      </c>
      <c r="I103" s="14" t="s">
        <v>249</v>
      </c>
      <c r="J103" s="14" t="s">
        <v>228</v>
      </c>
      <c r="K103" s="15" t="s">
        <v>16</v>
      </c>
      <c r="L103" s="4"/>
    </row>
    <row r="104" spans="1:12" s="16" customFormat="1" ht="42.75" customHeight="1" thickBot="1" x14ac:dyDescent="0.35">
      <c r="A104" s="13">
        <v>99</v>
      </c>
      <c r="B104" s="45" t="s">
        <v>288</v>
      </c>
      <c r="C104" s="62" t="s">
        <v>674</v>
      </c>
      <c r="D104" s="14" t="s">
        <v>87</v>
      </c>
      <c r="E104" s="14" t="s">
        <v>12</v>
      </c>
      <c r="F104" s="15" t="s">
        <v>255</v>
      </c>
      <c r="G104" s="15" t="s">
        <v>178</v>
      </c>
      <c r="H104" s="15">
        <v>5</v>
      </c>
      <c r="I104" s="14" t="s">
        <v>179</v>
      </c>
      <c r="J104" s="14" t="s">
        <v>228</v>
      </c>
      <c r="K104" s="15" t="s">
        <v>16</v>
      </c>
      <c r="L104" s="4"/>
    </row>
    <row r="105" spans="1:12" s="16" customFormat="1" ht="42.75" customHeight="1" thickBot="1" x14ac:dyDescent="0.35">
      <c r="A105" s="13">
        <v>100</v>
      </c>
      <c r="B105" s="45" t="s">
        <v>289</v>
      </c>
      <c r="C105" s="62" t="s">
        <v>675</v>
      </c>
      <c r="D105" s="14" t="s">
        <v>87</v>
      </c>
      <c r="E105" s="14" t="s">
        <v>12</v>
      </c>
      <c r="F105" s="15" t="s">
        <v>255</v>
      </c>
      <c r="G105" s="15" t="s">
        <v>178</v>
      </c>
      <c r="H105" s="15">
        <v>5</v>
      </c>
      <c r="I105" s="14" t="s">
        <v>179</v>
      </c>
      <c r="J105" s="14" t="s">
        <v>228</v>
      </c>
      <c r="K105" s="15" t="s">
        <v>16</v>
      </c>
      <c r="L105" s="4"/>
    </row>
    <row r="106" spans="1:12" s="16" customFormat="1" ht="42.75" customHeight="1" thickBot="1" x14ac:dyDescent="0.35">
      <c r="A106" s="13">
        <v>101</v>
      </c>
      <c r="B106" s="45" t="s">
        <v>290</v>
      </c>
      <c r="C106" s="62" t="s">
        <v>676</v>
      </c>
      <c r="D106" s="14" t="s">
        <v>87</v>
      </c>
      <c r="E106" s="14" t="s">
        <v>35</v>
      </c>
      <c r="F106" s="15" t="s">
        <v>88</v>
      </c>
      <c r="G106" s="15" t="s">
        <v>14</v>
      </c>
      <c r="H106" s="15">
        <v>7</v>
      </c>
      <c r="I106" s="14" t="s">
        <v>249</v>
      </c>
      <c r="J106" s="14" t="s">
        <v>291</v>
      </c>
      <c r="K106" s="15" t="s">
        <v>16</v>
      </c>
      <c r="L106" s="4"/>
    </row>
    <row r="107" spans="1:12" s="16" customFormat="1" ht="42.75" customHeight="1" thickBot="1" x14ac:dyDescent="0.35">
      <c r="A107" s="13">
        <v>102</v>
      </c>
      <c r="B107" s="45" t="s">
        <v>292</v>
      </c>
      <c r="C107" s="62" t="s">
        <v>677</v>
      </c>
      <c r="D107" s="14" t="s">
        <v>87</v>
      </c>
      <c r="E107" s="14" t="s">
        <v>35</v>
      </c>
      <c r="F107" s="15" t="s">
        <v>88</v>
      </c>
      <c r="G107" s="15" t="s">
        <v>14</v>
      </c>
      <c r="H107" s="15">
        <v>7</v>
      </c>
      <c r="I107" s="14" t="s">
        <v>249</v>
      </c>
      <c r="J107" s="14" t="s">
        <v>291</v>
      </c>
      <c r="K107" s="15" t="s">
        <v>16</v>
      </c>
      <c r="L107" s="4"/>
    </row>
    <row r="108" spans="1:12" s="16" customFormat="1" ht="42.75" customHeight="1" thickBot="1" x14ac:dyDescent="0.35">
      <c r="A108" s="13">
        <v>103</v>
      </c>
      <c r="B108" s="45" t="s">
        <v>293</v>
      </c>
      <c r="C108" s="62" t="s">
        <v>678</v>
      </c>
      <c r="D108" s="14" t="s">
        <v>87</v>
      </c>
      <c r="E108" s="14" t="s">
        <v>12</v>
      </c>
      <c r="F108" s="15" t="s">
        <v>88</v>
      </c>
      <c r="G108" s="15" t="s">
        <v>14</v>
      </c>
      <c r="H108" s="15">
        <v>7</v>
      </c>
      <c r="I108" s="14" t="s">
        <v>249</v>
      </c>
      <c r="J108" s="14" t="s">
        <v>291</v>
      </c>
      <c r="K108" s="15" t="s">
        <v>16</v>
      </c>
      <c r="L108" s="4"/>
    </row>
    <row r="109" spans="1:12" s="16" customFormat="1" ht="42.75" customHeight="1" thickBot="1" x14ac:dyDescent="0.35">
      <c r="A109" s="13">
        <v>104</v>
      </c>
      <c r="B109" s="45" t="s">
        <v>294</v>
      </c>
      <c r="C109" s="62" t="s">
        <v>679</v>
      </c>
      <c r="D109" s="14" t="s">
        <v>87</v>
      </c>
      <c r="E109" s="14" t="s">
        <v>12</v>
      </c>
      <c r="F109" s="15" t="s">
        <v>88</v>
      </c>
      <c r="G109" s="15" t="s">
        <v>14</v>
      </c>
      <c r="H109" s="15">
        <v>7</v>
      </c>
      <c r="I109" s="14" t="s">
        <v>249</v>
      </c>
      <c r="J109" s="14" t="s">
        <v>291</v>
      </c>
      <c r="K109" s="15" t="s">
        <v>16</v>
      </c>
      <c r="L109" s="4"/>
    </row>
    <row r="110" spans="1:12" s="16" customFormat="1" ht="42.75" customHeight="1" thickBot="1" x14ac:dyDescent="0.35">
      <c r="A110" s="13">
        <v>105</v>
      </c>
      <c r="B110" s="45" t="s">
        <v>295</v>
      </c>
      <c r="C110" s="62" t="s">
        <v>680</v>
      </c>
      <c r="D110" s="14" t="s">
        <v>87</v>
      </c>
      <c r="E110" s="14" t="s">
        <v>35</v>
      </c>
      <c r="F110" s="15" t="s">
        <v>88</v>
      </c>
      <c r="G110" s="15" t="s">
        <v>14</v>
      </c>
      <c r="H110" s="15">
        <v>7</v>
      </c>
      <c r="I110" s="14" t="s">
        <v>249</v>
      </c>
      <c r="J110" s="14" t="s">
        <v>291</v>
      </c>
      <c r="K110" s="15" t="s">
        <v>16</v>
      </c>
      <c r="L110" s="4"/>
    </row>
    <row r="111" spans="1:12" s="16" customFormat="1" ht="42.75" customHeight="1" thickBot="1" x14ac:dyDescent="0.35">
      <c r="A111" s="13">
        <v>106</v>
      </c>
      <c r="B111" s="45" t="s">
        <v>296</v>
      </c>
      <c r="C111" s="62" t="s">
        <v>681</v>
      </c>
      <c r="D111" s="14" t="s">
        <v>87</v>
      </c>
      <c r="E111" s="14" t="s">
        <v>35</v>
      </c>
      <c r="F111" s="15" t="s">
        <v>88</v>
      </c>
      <c r="G111" s="15" t="s">
        <v>14</v>
      </c>
      <c r="H111" s="15">
        <v>7</v>
      </c>
      <c r="I111" s="14" t="s">
        <v>249</v>
      </c>
      <c r="J111" s="14" t="s">
        <v>291</v>
      </c>
      <c r="K111" s="15" t="s">
        <v>16</v>
      </c>
      <c r="L111" s="4"/>
    </row>
    <row r="112" spans="1:12" s="16" customFormat="1" ht="42.75" customHeight="1" thickBot="1" x14ac:dyDescent="0.35">
      <c r="A112" s="13">
        <v>107</v>
      </c>
      <c r="B112" s="45" t="s">
        <v>297</v>
      </c>
      <c r="C112" s="62" t="s">
        <v>682</v>
      </c>
      <c r="D112" s="14" t="s">
        <v>87</v>
      </c>
      <c r="E112" s="14" t="s">
        <v>35</v>
      </c>
      <c r="F112" s="15" t="s">
        <v>88</v>
      </c>
      <c r="G112" s="15" t="s">
        <v>14</v>
      </c>
      <c r="H112" s="15">
        <v>7</v>
      </c>
      <c r="I112" s="14" t="s">
        <v>249</v>
      </c>
      <c r="J112" s="14" t="s">
        <v>291</v>
      </c>
      <c r="K112" s="15" t="s">
        <v>16</v>
      </c>
      <c r="L112" s="4"/>
    </row>
    <row r="113" spans="1:12" s="16" customFormat="1" ht="42.75" customHeight="1" thickBot="1" x14ac:dyDescent="0.35">
      <c r="A113" s="13">
        <v>108</v>
      </c>
      <c r="B113" s="45" t="s">
        <v>298</v>
      </c>
      <c r="C113" s="62" t="s">
        <v>683</v>
      </c>
      <c r="D113" s="14" t="s">
        <v>87</v>
      </c>
      <c r="E113" s="14" t="s">
        <v>12</v>
      </c>
      <c r="F113" s="15" t="s">
        <v>88</v>
      </c>
      <c r="G113" s="15" t="s">
        <v>14</v>
      </c>
      <c r="H113" s="15">
        <v>7</v>
      </c>
      <c r="I113" s="14" t="s">
        <v>249</v>
      </c>
      <c r="J113" s="14" t="s">
        <v>205</v>
      </c>
      <c r="K113" s="15" t="s">
        <v>16</v>
      </c>
      <c r="L113" s="4"/>
    </row>
    <row r="114" spans="1:12" s="16" customFormat="1" ht="42.75" customHeight="1" thickBot="1" x14ac:dyDescent="0.35">
      <c r="A114" s="13">
        <v>109</v>
      </c>
      <c r="B114" s="45" t="s">
        <v>299</v>
      </c>
      <c r="C114" s="62" t="s">
        <v>678</v>
      </c>
      <c r="D114" s="14" t="s">
        <v>87</v>
      </c>
      <c r="E114" s="14" t="s">
        <v>35</v>
      </c>
      <c r="F114" s="15" t="s">
        <v>88</v>
      </c>
      <c r="G114" s="15" t="s">
        <v>14</v>
      </c>
      <c r="H114" s="15">
        <v>7</v>
      </c>
      <c r="I114" s="14" t="s">
        <v>249</v>
      </c>
      <c r="J114" s="14" t="s">
        <v>205</v>
      </c>
      <c r="K114" s="15" t="s">
        <v>16</v>
      </c>
      <c r="L114" s="4"/>
    </row>
    <row r="115" spans="1:12" s="16" customFormat="1" ht="42.75" customHeight="1" thickBot="1" x14ac:dyDescent="0.35">
      <c r="A115" s="13">
        <v>110</v>
      </c>
      <c r="B115" s="45" t="s">
        <v>300</v>
      </c>
      <c r="C115" s="62" t="s">
        <v>684</v>
      </c>
      <c r="D115" s="14" t="s">
        <v>87</v>
      </c>
      <c r="E115" s="14" t="s">
        <v>12</v>
      </c>
      <c r="F115" s="15" t="s">
        <v>88</v>
      </c>
      <c r="G115" s="15" t="s">
        <v>14</v>
      </c>
      <c r="H115" s="15">
        <v>7</v>
      </c>
      <c r="I115" s="14" t="s">
        <v>249</v>
      </c>
      <c r="J115" s="14" t="s">
        <v>205</v>
      </c>
      <c r="K115" s="15" t="s">
        <v>16</v>
      </c>
      <c r="L115" s="4"/>
    </row>
    <row r="116" spans="1:12" s="16" customFormat="1" ht="42.75" customHeight="1" thickBot="1" x14ac:dyDescent="0.35">
      <c r="A116" s="13">
        <v>111</v>
      </c>
      <c r="B116" s="45" t="s">
        <v>301</v>
      </c>
      <c r="C116" s="62" t="s">
        <v>685</v>
      </c>
      <c r="D116" s="14" t="s">
        <v>87</v>
      </c>
      <c r="E116" s="14" t="s">
        <v>35</v>
      </c>
      <c r="F116" s="15" t="s">
        <v>88</v>
      </c>
      <c r="G116" s="15" t="s">
        <v>14</v>
      </c>
      <c r="H116" s="15">
        <v>7</v>
      </c>
      <c r="I116" s="14" t="s">
        <v>249</v>
      </c>
      <c r="J116" s="14" t="s">
        <v>212</v>
      </c>
      <c r="K116" s="15" t="s">
        <v>16</v>
      </c>
      <c r="L116" s="4"/>
    </row>
    <row r="117" spans="1:12" s="16" customFormat="1" ht="42.75" customHeight="1" thickBot="1" x14ac:dyDescent="0.35">
      <c r="A117" s="13">
        <v>112</v>
      </c>
      <c r="B117" s="45" t="s">
        <v>302</v>
      </c>
      <c r="C117" s="62" t="s">
        <v>686</v>
      </c>
      <c r="D117" s="14" t="s">
        <v>87</v>
      </c>
      <c r="E117" s="14" t="s">
        <v>35</v>
      </c>
      <c r="F117" s="15" t="s">
        <v>88</v>
      </c>
      <c r="G117" s="15" t="s">
        <v>14</v>
      </c>
      <c r="H117" s="15">
        <v>7</v>
      </c>
      <c r="I117" s="14" t="s">
        <v>249</v>
      </c>
      <c r="J117" s="14" t="s">
        <v>212</v>
      </c>
      <c r="K117" s="15" t="s">
        <v>16</v>
      </c>
      <c r="L117" s="4"/>
    </row>
    <row r="118" spans="1:12" s="16" customFormat="1" ht="42.75" customHeight="1" thickBot="1" x14ac:dyDescent="0.35">
      <c r="A118" s="13">
        <v>113</v>
      </c>
      <c r="B118" s="45" t="s">
        <v>303</v>
      </c>
      <c r="C118" s="62" t="s">
        <v>687</v>
      </c>
      <c r="D118" s="14" t="s">
        <v>87</v>
      </c>
      <c r="E118" s="14" t="s">
        <v>35</v>
      </c>
      <c r="F118" s="15" t="s">
        <v>88</v>
      </c>
      <c r="G118" s="15" t="s">
        <v>14</v>
      </c>
      <c r="H118" s="15">
        <v>7</v>
      </c>
      <c r="I118" s="14" t="s">
        <v>249</v>
      </c>
      <c r="J118" s="14" t="s">
        <v>212</v>
      </c>
      <c r="K118" s="15" t="s">
        <v>16</v>
      </c>
      <c r="L118" s="4"/>
    </row>
    <row r="119" spans="1:12" s="16" customFormat="1" ht="42.75" customHeight="1" thickBot="1" x14ac:dyDescent="0.35">
      <c r="A119" s="13">
        <v>114</v>
      </c>
      <c r="B119" s="45" t="s">
        <v>304</v>
      </c>
      <c r="C119" s="62" t="s">
        <v>688</v>
      </c>
      <c r="D119" s="14" t="s">
        <v>87</v>
      </c>
      <c r="E119" s="14" t="s">
        <v>35</v>
      </c>
      <c r="F119" s="15" t="s">
        <v>88</v>
      </c>
      <c r="G119" s="15" t="s">
        <v>14</v>
      </c>
      <c r="H119" s="15">
        <v>7</v>
      </c>
      <c r="I119" s="14" t="s">
        <v>249</v>
      </c>
      <c r="J119" s="14" t="s">
        <v>212</v>
      </c>
      <c r="K119" s="15" t="s">
        <v>16</v>
      </c>
      <c r="L119" s="4"/>
    </row>
    <row r="120" spans="1:12" s="16" customFormat="1" ht="42.75" customHeight="1" thickBot="1" x14ac:dyDescent="0.35">
      <c r="A120" s="13">
        <v>115</v>
      </c>
      <c r="B120" s="45" t="s">
        <v>305</v>
      </c>
      <c r="C120" s="62" t="s">
        <v>689</v>
      </c>
      <c r="D120" s="14" t="s">
        <v>87</v>
      </c>
      <c r="E120" s="14" t="s">
        <v>35</v>
      </c>
      <c r="F120" s="15" t="s">
        <v>255</v>
      </c>
      <c r="G120" s="15" t="s">
        <v>178</v>
      </c>
      <c r="H120" s="15">
        <v>5</v>
      </c>
      <c r="I120" s="14" t="s">
        <v>179</v>
      </c>
      <c r="J120" s="14" t="s">
        <v>212</v>
      </c>
      <c r="K120" s="15" t="s">
        <v>16</v>
      </c>
      <c r="L120" s="4"/>
    </row>
    <row r="121" spans="1:12" s="16" customFormat="1" ht="42.75" customHeight="1" thickBot="1" x14ac:dyDescent="0.35">
      <c r="A121" s="13">
        <v>116</v>
      </c>
      <c r="B121" s="45" t="s">
        <v>306</v>
      </c>
      <c r="C121" s="62" t="s">
        <v>518</v>
      </c>
      <c r="D121" s="14" t="s">
        <v>87</v>
      </c>
      <c r="E121" s="14" t="s">
        <v>12</v>
      </c>
      <c r="F121" s="15" t="s">
        <v>88</v>
      </c>
      <c r="G121" s="15" t="s">
        <v>14</v>
      </c>
      <c r="H121" s="15">
        <v>7</v>
      </c>
      <c r="I121" s="14" t="s">
        <v>249</v>
      </c>
      <c r="J121" s="14" t="s">
        <v>180</v>
      </c>
      <c r="K121" s="15" t="s">
        <v>16</v>
      </c>
      <c r="L121" s="4"/>
    </row>
    <row r="122" spans="1:12" s="16" customFormat="1" ht="42.75" customHeight="1" thickBot="1" x14ac:dyDescent="0.35">
      <c r="A122" s="13">
        <v>117</v>
      </c>
      <c r="B122" s="45" t="s">
        <v>307</v>
      </c>
      <c r="C122" s="62" t="s">
        <v>519</v>
      </c>
      <c r="D122" s="14" t="s">
        <v>87</v>
      </c>
      <c r="E122" s="14" t="s">
        <v>12</v>
      </c>
      <c r="F122" s="15" t="s">
        <v>88</v>
      </c>
      <c r="G122" s="15" t="s">
        <v>14</v>
      </c>
      <c r="H122" s="15">
        <v>7</v>
      </c>
      <c r="I122" s="14" t="s">
        <v>249</v>
      </c>
      <c r="J122" s="14" t="s">
        <v>180</v>
      </c>
      <c r="K122" s="15" t="s">
        <v>16</v>
      </c>
      <c r="L122" s="4"/>
    </row>
    <row r="123" spans="1:12" s="16" customFormat="1" ht="42.75" customHeight="1" thickBot="1" x14ac:dyDescent="0.35">
      <c r="A123" s="13">
        <v>118</v>
      </c>
      <c r="B123" s="45" t="s">
        <v>308</v>
      </c>
      <c r="C123" s="62" t="s">
        <v>690</v>
      </c>
      <c r="D123" s="14" t="s">
        <v>87</v>
      </c>
      <c r="E123" s="14" t="s">
        <v>35</v>
      </c>
      <c r="F123" s="15" t="s">
        <v>88</v>
      </c>
      <c r="G123" s="15" t="s">
        <v>14</v>
      </c>
      <c r="H123" s="15">
        <v>7</v>
      </c>
      <c r="I123" s="14" t="s">
        <v>249</v>
      </c>
      <c r="J123" s="14" t="s">
        <v>170</v>
      </c>
      <c r="K123" s="15" t="s">
        <v>16</v>
      </c>
      <c r="L123" s="4"/>
    </row>
    <row r="124" spans="1:12" s="16" customFormat="1" ht="42.75" customHeight="1" thickBot="1" x14ac:dyDescent="0.35">
      <c r="A124" s="13">
        <v>119</v>
      </c>
      <c r="B124" s="45" t="s">
        <v>309</v>
      </c>
      <c r="C124" s="62" t="s">
        <v>691</v>
      </c>
      <c r="D124" s="14" t="s">
        <v>87</v>
      </c>
      <c r="E124" s="14" t="s">
        <v>35</v>
      </c>
      <c r="F124" s="15" t="s">
        <v>88</v>
      </c>
      <c r="G124" s="15" t="s">
        <v>14</v>
      </c>
      <c r="H124" s="15">
        <v>7</v>
      </c>
      <c r="I124" s="14" t="s">
        <v>249</v>
      </c>
      <c r="J124" s="14" t="s">
        <v>170</v>
      </c>
      <c r="K124" s="15" t="s">
        <v>16</v>
      </c>
      <c r="L124" s="4"/>
    </row>
    <row r="125" spans="1:12" s="16" customFormat="1" ht="42.75" customHeight="1" thickBot="1" x14ac:dyDescent="0.35">
      <c r="A125" s="13">
        <v>120</v>
      </c>
      <c r="B125" s="45" t="s">
        <v>310</v>
      </c>
      <c r="C125" s="62" t="s">
        <v>692</v>
      </c>
      <c r="D125" s="14" t="s">
        <v>87</v>
      </c>
      <c r="E125" s="14" t="s">
        <v>35</v>
      </c>
      <c r="F125" s="15" t="s">
        <v>88</v>
      </c>
      <c r="G125" s="15" t="s">
        <v>14</v>
      </c>
      <c r="H125" s="15">
        <v>7</v>
      </c>
      <c r="I125" s="14" t="s">
        <v>249</v>
      </c>
      <c r="J125" s="14" t="s">
        <v>170</v>
      </c>
      <c r="K125" s="15" t="s">
        <v>16</v>
      </c>
      <c r="L125" s="4"/>
    </row>
    <row r="126" spans="1:12" s="16" customFormat="1" ht="42.75" customHeight="1" thickBot="1" x14ac:dyDescent="0.35">
      <c r="A126" s="13">
        <v>121</v>
      </c>
      <c r="B126" s="45" t="s">
        <v>311</v>
      </c>
      <c r="C126" s="62" t="s">
        <v>693</v>
      </c>
      <c r="D126" s="14" t="s">
        <v>87</v>
      </c>
      <c r="E126" s="14" t="s">
        <v>12</v>
      </c>
      <c r="F126" s="15" t="s">
        <v>88</v>
      </c>
      <c r="G126" s="15" t="s">
        <v>14</v>
      </c>
      <c r="H126" s="15">
        <v>7</v>
      </c>
      <c r="I126" s="14" t="s">
        <v>249</v>
      </c>
      <c r="J126" s="14" t="s">
        <v>170</v>
      </c>
      <c r="K126" s="15" t="s">
        <v>16</v>
      </c>
      <c r="L126" s="4"/>
    </row>
    <row r="127" spans="1:12" s="16" customFormat="1" ht="42.75" customHeight="1" thickBot="1" x14ac:dyDescent="0.35">
      <c r="A127" s="13">
        <v>122</v>
      </c>
      <c r="B127" s="45" t="s">
        <v>312</v>
      </c>
      <c r="C127" s="62" t="s">
        <v>694</v>
      </c>
      <c r="D127" s="14" t="s">
        <v>87</v>
      </c>
      <c r="E127" s="14" t="s">
        <v>12</v>
      </c>
      <c r="F127" s="15" t="s">
        <v>88</v>
      </c>
      <c r="G127" s="15" t="s">
        <v>14</v>
      </c>
      <c r="H127" s="15">
        <v>7</v>
      </c>
      <c r="I127" s="14" t="s">
        <v>249</v>
      </c>
      <c r="J127" s="14" t="s">
        <v>170</v>
      </c>
      <c r="K127" s="15" t="s">
        <v>16</v>
      </c>
      <c r="L127" s="4"/>
    </row>
    <row r="128" spans="1:12" s="16" customFormat="1" ht="42.75" customHeight="1" thickBot="1" x14ac:dyDescent="0.35">
      <c r="A128" s="13">
        <v>123</v>
      </c>
      <c r="B128" s="45" t="s">
        <v>313</v>
      </c>
      <c r="C128" s="62" t="s">
        <v>695</v>
      </c>
      <c r="D128" s="14" t="s">
        <v>87</v>
      </c>
      <c r="E128" s="14" t="s">
        <v>35</v>
      </c>
      <c r="F128" s="15" t="s">
        <v>88</v>
      </c>
      <c r="G128" s="15" t="s">
        <v>14</v>
      </c>
      <c r="H128" s="15">
        <v>7</v>
      </c>
      <c r="I128" s="14" t="s">
        <v>249</v>
      </c>
      <c r="J128" s="14" t="s">
        <v>170</v>
      </c>
      <c r="K128" s="15" t="s">
        <v>16</v>
      </c>
      <c r="L128" s="4"/>
    </row>
    <row r="129" spans="1:12" s="16" customFormat="1" ht="42.75" customHeight="1" thickBot="1" x14ac:dyDescent="0.35">
      <c r="A129" s="13">
        <v>124</v>
      </c>
      <c r="B129" s="45" t="s">
        <v>314</v>
      </c>
      <c r="C129" s="62" t="s">
        <v>696</v>
      </c>
      <c r="D129" s="14" t="s">
        <v>87</v>
      </c>
      <c r="E129" s="14" t="s">
        <v>35</v>
      </c>
      <c r="F129" s="15" t="s">
        <v>88</v>
      </c>
      <c r="G129" s="15" t="s">
        <v>14</v>
      </c>
      <c r="H129" s="15">
        <v>7</v>
      </c>
      <c r="I129" s="14" t="s">
        <v>249</v>
      </c>
      <c r="J129" s="14" t="s">
        <v>170</v>
      </c>
      <c r="K129" s="15" t="s">
        <v>16</v>
      </c>
      <c r="L129" s="4"/>
    </row>
    <row r="130" spans="1:12" s="16" customFormat="1" ht="42.75" customHeight="1" thickBot="1" x14ac:dyDescent="0.35">
      <c r="A130" s="13">
        <v>125</v>
      </c>
      <c r="B130" s="45" t="s">
        <v>315</v>
      </c>
      <c r="C130" s="62" t="s">
        <v>697</v>
      </c>
      <c r="D130" s="14" t="s">
        <v>87</v>
      </c>
      <c r="E130" s="14" t="s">
        <v>35</v>
      </c>
      <c r="F130" s="15" t="s">
        <v>88</v>
      </c>
      <c r="G130" s="15" t="s">
        <v>14</v>
      </c>
      <c r="H130" s="15">
        <v>7</v>
      </c>
      <c r="I130" s="14" t="s">
        <v>249</v>
      </c>
      <c r="J130" s="14" t="s">
        <v>170</v>
      </c>
      <c r="K130" s="15" t="s">
        <v>16</v>
      </c>
      <c r="L130" s="4"/>
    </row>
    <row r="131" spans="1:12" s="16" customFormat="1" ht="42.75" customHeight="1" thickBot="1" x14ac:dyDescent="0.35">
      <c r="A131" s="13">
        <v>126</v>
      </c>
      <c r="B131" s="45" t="s">
        <v>316</v>
      </c>
      <c r="C131" s="62" t="s">
        <v>698</v>
      </c>
      <c r="D131" s="14" t="s">
        <v>87</v>
      </c>
      <c r="E131" s="14" t="s">
        <v>35</v>
      </c>
      <c r="F131" s="15" t="s">
        <v>88</v>
      </c>
      <c r="G131" s="15" t="s">
        <v>14</v>
      </c>
      <c r="H131" s="15">
        <v>7</v>
      </c>
      <c r="I131" s="14" t="s">
        <v>249</v>
      </c>
      <c r="J131" s="14" t="s">
        <v>91</v>
      </c>
      <c r="K131" s="15" t="s">
        <v>16</v>
      </c>
      <c r="L131" s="4"/>
    </row>
    <row r="132" spans="1:12" s="16" customFormat="1" ht="42.75" customHeight="1" thickBot="1" x14ac:dyDescent="0.35">
      <c r="A132" s="13">
        <v>127</v>
      </c>
      <c r="B132" s="45" t="s">
        <v>317</v>
      </c>
      <c r="C132" s="62" t="s">
        <v>699</v>
      </c>
      <c r="D132" s="14" t="s">
        <v>87</v>
      </c>
      <c r="E132" s="14" t="s">
        <v>35</v>
      </c>
      <c r="F132" s="15" t="s">
        <v>88</v>
      </c>
      <c r="G132" s="15" t="s">
        <v>14</v>
      </c>
      <c r="H132" s="15">
        <v>7</v>
      </c>
      <c r="I132" s="14" t="s">
        <v>249</v>
      </c>
      <c r="J132" s="14" t="s">
        <v>91</v>
      </c>
      <c r="K132" s="15" t="s">
        <v>16</v>
      </c>
      <c r="L132" s="4"/>
    </row>
    <row r="133" spans="1:12" s="16" customFormat="1" ht="42.75" customHeight="1" thickBot="1" x14ac:dyDescent="0.35">
      <c r="A133" s="13">
        <v>128</v>
      </c>
      <c r="B133" s="45" t="s">
        <v>318</v>
      </c>
      <c r="C133" s="62" t="s">
        <v>700</v>
      </c>
      <c r="D133" s="14" t="s">
        <v>87</v>
      </c>
      <c r="E133" s="14" t="s">
        <v>35</v>
      </c>
      <c r="F133" s="15" t="s">
        <v>88</v>
      </c>
      <c r="G133" s="15" t="s">
        <v>14</v>
      </c>
      <c r="H133" s="15">
        <v>7</v>
      </c>
      <c r="I133" s="14" t="s">
        <v>249</v>
      </c>
      <c r="J133" s="14" t="s">
        <v>91</v>
      </c>
      <c r="K133" s="15" t="s">
        <v>16</v>
      </c>
      <c r="L133" s="4"/>
    </row>
    <row r="134" spans="1:12" s="16" customFormat="1" ht="42.75" customHeight="1" thickBot="1" x14ac:dyDescent="0.35">
      <c r="A134" s="13">
        <v>129</v>
      </c>
      <c r="B134" s="45" t="s">
        <v>319</v>
      </c>
      <c r="C134" s="62" t="s">
        <v>701</v>
      </c>
      <c r="D134" s="14" t="s">
        <v>87</v>
      </c>
      <c r="E134" s="14" t="s">
        <v>35</v>
      </c>
      <c r="F134" s="15" t="s">
        <v>88</v>
      </c>
      <c r="G134" s="15" t="s">
        <v>14</v>
      </c>
      <c r="H134" s="15">
        <v>7</v>
      </c>
      <c r="I134" s="14" t="s">
        <v>249</v>
      </c>
      <c r="J134" s="14" t="s">
        <v>91</v>
      </c>
      <c r="K134" s="15" t="s">
        <v>16</v>
      </c>
      <c r="L134" s="4"/>
    </row>
    <row r="135" spans="1:12" s="16" customFormat="1" ht="42.75" customHeight="1" thickBot="1" x14ac:dyDescent="0.35">
      <c r="A135" s="13">
        <v>130</v>
      </c>
      <c r="B135" s="45" t="s">
        <v>320</v>
      </c>
      <c r="C135" s="62" t="s">
        <v>702</v>
      </c>
      <c r="D135" s="14" t="s">
        <v>87</v>
      </c>
      <c r="E135" s="14" t="s">
        <v>35</v>
      </c>
      <c r="F135" s="15" t="s">
        <v>88</v>
      </c>
      <c r="G135" s="15" t="s">
        <v>14</v>
      </c>
      <c r="H135" s="15">
        <v>7</v>
      </c>
      <c r="I135" s="14" t="s">
        <v>249</v>
      </c>
      <c r="J135" s="14" t="s">
        <v>91</v>
      </c>
      <c r="K135" s="15" t="s">
        <v>16</v>
      </c>
      <c r="L135" s="4"/>
    </row>
    <row r="136" spans="1:12" s="16" customFormat="1" ht="42.75" customHeight="1" thickBot="1" x14ac:dyDescent="0.35">
      <c r="A136" s="13">
        <v>131</v>
      </c>
      <c r="B136" s="45" t="s">
        <v>321</v>
      </c>
      <c r="C136" s="62" t="s">
        <v>703</v>
      </c>
      <c r="D136" s="14" t="s">
        <v>87</v>
      </c>
      <c r="E136" s="14" t="s">
        <v>35</v>
      </c>
      <c r="F136" s="15" t="s">
        <v>88</v>
      </c>
      <c r="G136" s="15" t="s">
        <v>14</v>
      </c>
      <c r="H136" s="15">
        <v>7</v>
      </c>
      <c r="I136" s="14" t="s">
        <v>249</v>
      </c>
      <c r="J136" s="14" t="s">
        <v>91</v>
      </c>
      <c r="K136" s="15" t="s">
        <v>16</v>
      </c>
      <c r="L136" s="4"/>
    </row>
    <row r="137" spans="1:12" s="16" customFormat="1" ht="42.75" customHeight="1" thickBot="1" x14ac:dyDescent="0.35">
      <c r="A137" s="13">
        <v>132</v>
      </c>
      <c r="B137" s="45" t="s">
        <v>322</v>
      </c>
      <c r="C137" s="62" t="s">
        <v>704</v>
      </c>
      <c r="D137" s="14" t="s">
        <v>87</v>
      </c>
      <c r="E137" s="14" t="s">
        <v>12</v>
      </c>
      <c r="F137" s="15" t="s">
        <v>88</v>
      </c>
      <c r="G137" s="15" t="s">
        <v>14</v>
      </c>
      <c r="H137" s="15">
        <v>7</v>
      </c>
      <c r="I137" s="14" t="s">
        <v>249</v>
      </c>
      <c r="J137" s="14" t="s">
        <v>91</v>
      </c>
      <c r="K137" s="15" t="s">
        <v>16</v>
      </c>
      <c r="L137" s="4"/>
    </row>
    <row r="138" spans="1:12" s="16" customFormat="1" ht="42.75" customHeight="1" thickBot="1" x14ac:dyDescent="0.35">
      <c r="A138" s="13">
        <v>133</v>
      </c>
      <c r="B138" s="45" t="s">
        <v>323</v>
      </c>
      <c r="C138" s="62" t="s">
        <v>705</v>
      </c>
      <c r="D138" s="14" t="s">
        <v>87</v>
      </c>
      <c r="E138" s="14" t="s">
        <v>12</v>
      </c>
      <c r="F138" s="15" t="s">
        <v>88</v>
      </c>
      <c r="G138" s="15" t="s">
        <v>14</v>
      </c>
      <c r="H138" s="15">
        <v>7</v>
      </c>
      <c r="I138" s="14" t="s">
        <v>249</v>
      </c>
      <c r="J138" s="14" t="s">
        <v>91</v>
      </c>
      <c r="K138" s="15" t="s">
        <v>16</v>
      </c>
      <c r="L138" s="4"/>
    </row>
    <row r="139" spans="1:12" s="16" customFormat="1" ht="42.75" customHeight="1" thickBot="1" x14ac:dyDescent="0.35">
      <c r="A139" s="13">
        <v>134</v>
      </c>
      <c r="B139" s="45" t="s">
        <v>324</v>
      </c>
      <c r="C139" s="62" t="s">
        <v>706</v>
      </c>
      <c r="D139" s="14" t="s">
        <v>87</v>
      </c>
      <c r="E139" s="14" t="s">
        <v>12</v>
      </c>
      <c r="F139" s="15" t="s">
        <v>88</v>
      </c>
      <c r="G139" s="15" t="s">
        <v>14</v>
      </c>
      <c r="H139" s="15">
        <v>7</v>
      </c>
      <c r="I139" s="14" t="s">
        <v>249</v>
      </c>
      <c r="J139" s="14" t="s">
        <v>91</v>
      </c>
      <c r="K139" s="15" t="s">
        <v>16</v>
      </c>
      <c r="L139" s="4"/>
    </row>
    <row r="140" spans="1:12" s="16" customFormat="1" ht="42.75" customHeight="1" thickBot="1" x14ac:dyDescent="0.35">
      <c r="A140" s="13">
        <v>135</v>
      </c>
      <c r="B140" s="45" t="s">
        <v>325</v>
      </c>
      <c r="C140" s="62" t="s">
        <v>707</v>
      </c>
      <c r="D140" s="14" t="s">
        <v>87</v>
      </c>
      <c r="E140" s="14" t="s">
        <v>35</v>
      </c>
      <c r="F140" s="15" t="s">
        <v>88</v>
      </c>
      <c r="G140" s="15" t="s">
        <v>14</v>
      </c>
      <c r="H140" s="15">
        <v>7</v>
      </c>
      <c r="I140" s="14" t="s">
        <v>249</v>
      </c>
      <c r="J140" s="14" t="s">
        <v>91</v>
      </c>
      <c r="K140" s="15" t="s">
        <v>16</v>
      </c>
      <c r="L140" s="4"/>
    </row>
    <row r="141" spans="1:12" s="16" customFormat="1" ht="42.75" customHeight="1" thickBot="1" x14ac:dyDescent="0.35">
      <c r="A141" s="13">
        <v>136</v>
      </c>
      <c r="B141" s="45" t="s">
        <v>326</v>
      </c>
      <c r="C141" s="62" t="s">
        <v>708</v>
      </c>
      <c r="D141" s="14" t="s">
        <v>87</v>
      </c>
      <c r="E141" s="14" t="s">
        <v>12</v>
      </c>
      <c r="F141" s="15" t="s">
        <v>88</v>
      </c>
      <c r="G141" s="15" t="s">
        <v>14</v>
      </c>
      <c r="H141" s="15">
        <v>7</v>
      </c>
      <c r="I141" s="14" t="s">
        <v>249</v>
      </c>
      <c r="J141" s="14" t="s">
        <v>91</v>
      </c>
      <c r="K141" s="15" t="s">
        <v>16</v>
      </c>
      <c r="L141" s="4"/>
    </row>
    <row r="142" spans="1:12" s="16" customFormat="1" ht="42.75" customHeight="1" thickBot="1" x14ac:dyDescent="0.35">
      <c r="A142" s="13">
        <v>137</v>
      </c>
      <c r="B142" s="45" t="s">
        <v>327</v>
      </c>
      <c r="C142" s="62" t="s">
        <v>709</v>
      </c>
      <c r="D142" s="14" t="s">
        <v>87</v>
      </c>
      <c r="E142" s="14" t="s">
        <v>35</v>
      </c>
      <c r="F142" s="15" t="s">
        <v>88</v>
      </c>
      <c r="G142" s="15" t="s">
        <v>14</v>
      </c>
      <c r="H142" s="15">
        <v>7</v>
      </c>
      <c r="I142" s="14" t="s">
        <v>249</v>
      </c>
      <c r="J142" s="14" t="s">
        <v>91</v>
      </c>
      <c r="K142" s="15" t="s">
        <v>16</v>
      </c>
      <c r="L142" s="4"/>
    </row>
    <row r="143" spans="1:12" s="16" customFormat="1" ht="42.75" customHeight="1" thickBot="1" x14ac:dyDescent="0.35">
      <c r="A143" s="13">
        <v>138</v>
      </c>
      <c r="B143" s="45" t="s">
        <v>328</v>
      </c>
      <c r="C143" s="62" t="s">
        <v>710</v>
      </c>
      <c r="D143" s="14" t="s">
        <v>87</v>
      </c>
      <c r="E143" s="14" t="s">
        <v>35</v>
      </c>
      <c r="F143" s="15" t="s">
        <v>255</v>
      </c>
      <c r="G143" s="15" t="s">
        <v>178</v>
      </c>
      <c r="H143" s="15">
        <v>5</v>
      </c>
      <c r="I143" s="14" t="s">
        <v>179</v>
      </c>
      <c r="J143" s="14" t="s">
        <v>91</v>
      </c>
      <c r="K143" s="15" t="s">
        <v>16</v>
      </c>
      <c r="L143" s="4"/>
    </row>
    <row r="144" spans="1:12" s="16" customFormat="1" ht="42.75" customHeight="1" thickBot="1" x14ac:dyDescent="0.35">
      <c r="A144" s="13">
        <v>139</v>
      </c>
      <c r="B144" s="45" t="s">
        <v>329</v>
      </c>
      <c r="C144" s="62" t="s">
        <v>711</v>
      </c>
      <c r="D144" s="14" t="s">
        <v>87</v>
      </c>
      <c r="E144" s="14" t="s">
        <v>12</v>
      </c>
      <c r="F144" s="15" t="s">
        <v>255</v>
      </c>
      <c r="G144" s="15" t="s">
        <v>178</v>
      </c>
      <c r="H144" s="15">
        <v>5</v>
      </c>
      <c r="I144" s="14" t="s">
        <v>179</v>
      </c>
      <c r="J144" s="14" t="s">
        <v>91</v>
      </c>
      <c r="K144" s="15" t="s">
        <v>16</v>
      </c>
      <c r="L144" s="4"/>
    </row>
    <row r="145" spans="1:12" s="16" customFormat="1" ht="42.75" customHeight="1" thickBot="1" x14ac:dyDescent="0.35">
      <c r="A145" s="13">
        <v>140</v>
      </c>
      <c r="B145" s="45" t="s">
        <v>330</v>
      </c>
      <c r="C145" s="62" t="s">
        <v>712</v>
      </c>
      <c r="D145" s="14" t="s">
        <v>87</v>
      </c>
      <c r="E145" s="14" t="s">
        <v>35</v>
      </c>
      <c r="F145" s="15" t="s">
        <v>255</v>
      </c>
      <c r="G145" s="15" t="s">
        <v>178</v>
      </c>
      <c r="H145" s="15">
        <v>5</v>
      </c>
      <c r="I145" s="14" t="s">
        <v>179</v>
      </c>
      <c r="J145" s="14" t="s">
        <v>91</v>
      </c>
      <c r="K145" s="15" t="s">
        <v>16</v>
      </c>
      <c r="L145" s="4"/>
    </row>
    <row r="146" spans="1:12" s="16" customFormat="1" ht="42.75" customHeight="1" thickBot="1" x14ac:dyDescent="0.35">
      <c r="A146" s="13">
        <v>141</v>
      </c>
      <c r="B146" s="45" t="s">
        <v>331</v>
      </c>
      <c r="C146" s="62" t="s">
        <v>713</v>
      </c>
      <c r="D146" s="14" t="s">
        <v>87</v>
      </c>
      <c r="E146" s="14" t="s">
        <v>12</v>
      </c>
      <c r="F146" s="15" t="s">
        <v>255</v>
      </c>
      <c r="G146" s="15" t="s">
        <v>178</v>
      </c>
      <c r="H146" s="15">
        <v>5</v>
      </c>
      <c r="I146" s="14" t="s">
        <v>179</v>
      </c>
      <c r="J146" s="14" t="s">
        <v>332</v>
      </c>
      <c r="K146" s="15" t="s">
        <v>16</v>
      </c>
      <c r="L146" s="4"/>
    </row>
    <row r="147" spans="1:12" s="16" customFormat="1" ht="42.75" customHeight="1" thickBot="1" x14ac:dyDescent="0.35">
      <c r="A147" s="13">
        <v>142</v>
      </c>
      <c r="B147" s="45" t="s">
        <v>333</v>
      </c>
      <c r="C147" s="62" t="s">
        <v>714</v>
      </c>
      <c r="D147" s="14" t="s">
        <v>87</v>
      </c>
      <c r="E147" s="14" t="s">
        <v>35</v>
      </c>
      <c r="F147" s="15" t="s">
        <v>255</v>
      </c>
      <c r="G147" s="15" t="s">
        <v>178</v>
      </c>
      <c r="H147" s="15">
        <v>5</v>
      </c>
      <c r="I147" s="14" t="s">
        <v>179</v>
      </c>
      <c r="J147" s="14" t="s">
        <v>332</v>
      </c>
      <c r="K147" s="15" t="s">
        <v>16</v>
      </c>
      <c r="L147" s="4"/>
    </row>
    <row r="148" spans="1:12" s="16" customFormat="1" ht="42.75" customHeight="1" thickBot="1" x14ac:dyDescent="0.35">
      <c r="A148" s="13">
        <v>143</v>
      </c>
      <c r="B148" s="45" t="s">
        <v>334</v>
      </c>
      <c r="C148" s="62" t="s">
        <v>715</v>
      </c>
      <c r="D148" s="14" t="s">
        <v>87</v>
      </c>
      <c r="E148" s="14" t="s">
        <v>35</v>
      </c>
      <c r="F148" s="15" t="s">
        <v>255</v>
      </c>
      <c r="G148" s="15" t="s">
        <v>178</v>
      </c>
      <c r="H148" s="15">
        <v>5</v>
      </c>
      <c r="I148" s="14" t="s">
        <v>179</v>
      </c>
      <c r="J148" s="14" t="s">
        <v>332</v>
      </c>
      <c r="K148" s="15" t="s">
        <v>16</v>
      </c>
      <c r="L148" s="4"/>
    </row>
    <row r="149" spans="1:12" s="16" customFormat="1" ht="42.75" customHeight="1" thickBot="1" x14ac:dyDescent="0.35">
      <c r="A149" s="13">
        <v>144</v>
      </c>
      <c r="B149" s="45" t="s">
        <v>335</v>
      </c>
      <c r="C149" s="62" t="s">
        <v>716</v>
      </c>
      <c r="D149" s="14" t="s">
        <v>87</v>
      </c>
      <c r="E149" s="14" t="s">
        <v>35</v>
      </c>
      <c r="F149" s="15" t="s">
        <v>88</v>
      </c>
      <c r="G149" s="15" t="s">
        <v>14</v>
      </c>
      <c r="H149" s="15">
        <v>7</v>
      </c>
      <c r="I149" s="14" t="s">
        <v>249</v>
      </c>
      <c r="J149" s="14" t="s">
        <v>238</v>
      </c>
      <c r="K149" s="15" t="s">
        <v>16</v>
      </c>
      <c r="L149" s="4"/>
    </row>
    <row r="150" spans="1:12" s="16" customFormat="1" ht="42.75" customHeight="1" thickBot="1" x14ac:dyDescent="0.35">
      <c r="A150" s="13">
        <v>145</v>
      </c>
      <c r="B150" s="45" t="s">
        <v>336</v>
      </c>
      <c r="C150" s="62" t="s">
        <v>717</v>
      </c>
      <c r="D150" s="14" t="s">
        <v>87</v>
      </c>
      <c r="E150" s="14" t="s">
        <v>35</v>
      </c>
      <c r="F150" s="15" t="s">
        <v>88</v>
      </c>
      <c r="G150" s="15" t="s">
        <v>14</v>
      </c>
      <c r="H150" s="15">
        <v>7</v>
      </c>
      <c r="I150" s="14" t="s">
        <v>249</v>
      </c>
      <c r="J150" s="14" t="s">
        <v>238</v>
      </c>
      <c r="K150" s="15" t="s">
        <v>16</v>
      </c>
      <c r="L150" s="4"/>
    </row>
    <row r="151" spans="1:12" s="16" customFormat="1" ht="42.75" customHeight="1" thickBot="1" x14ac:dyDescent="0.35">
      <c r="A151" s="13">
        <v>146</v>
      </c>
      <c r="B151" s="45" t="s">
        <v>337</v>
      </c>
      <c r="C151" s="62" t="s">
        <v>718</v>
      </c>
      <c r="D151" s="14" t="s">
        <v>87</v>
      </c>
      <c r="E151" s="14" t="s">
        <v>35</v>
      </c>
      <c r="F151" s="15" t="s">
        <v>255</v>
      </c>
      <c r="G151" s="15" t="s">
        <v>178</v>
      </c>
      <c r="H151" s="15">
        <v>5</v>
      </c>
      <c r="I151" s="14" t="s">
        <v>179</v>
      </c>
      <c r="J151" s="14" t="s">
        <v>238</v>
      </c>
      <c r="K151" s="15" t="s">
        <v>16</v>
      </c>
      <c r="L151" s="4"/>
    </row>
    <row r="152" spans="1:12" s="16" customFormat="1" ht="42.75" customHeight="1" thickBot="1" x14ac:dyDescent="0.35">
      <c r="A152" s="13">
        <v>147</v>
      </c>
      <c r="B152" s="45" t="s">
        <v>338</v>
      </c>
      <c r="C152" s="62" t="s">
        <v>719</v>
      </c>
      <c r="D152" s="14" t="s">
        <v>87</v>
      </c>
      <c r="E152" s="14" t="s">
        <v>35</v>
      </c>
      <c r="F152" s="15" t="s">
        <v>88</v>
      </c>
      <c r="G152" s="15" t="s">
        <v>14</v>
      </c>
      <c r="H152" s="15">
        <v>7</v>
      </c>
      <c r="I152" s="14" t="s">
        <v>249</v>
      </c>
      <c r="J152" s="14" t="s">
        <v>242</v>
      </c>
      <c r="K152" s="15" t="s">
        <v>16</v>
      </c>
      <c r="L152" s="4"/>
    </row>
    <row r="153" spans="1:12" s="16" customFormat="1" ht="42.75" customHeight="1" thickBot="1" x14ac:dyDescent="0.35">
      <c r="A153" s="13">
        <v>148</v>
      </c>
      <c r="B153" s="45" t="s">
        <v>339</v>
      </c>
      <c r="C153" s="62" t="s">
        <v>720</v>
      </c>
      <c r="D153" s="14" t="s">
        <v>87</v>
      </c>
      <c r="E153" s="14" t="s">
        <v>35</v>
      </c>
      <c r="F153" s="15" t="s">
        <v>88</v>
      </c>
      <c r="G153" s="15" t="s">
        <v>14</v>
      </c>
      <c r="H153" s="15">
        <v>7</v>
      </c>
      <c r="I153" s="14" t="s">
        <v>249</v>
      </c>
      <c r="J153" s="14" t="s">
        <v>242</v>
      </c>
      <c r="K153" s="15" t="s">
        <v>16</v>
      </c>
      <c r="L153" s="4"/>
    </row>
    <row r="154" spans="1:12" s="16" customFormat="1" ht="42.75" customHeight="1" thickBot="1" x14ac:dyDescent="0.35">
      <c r="A154" s="13">
        <v>149</v>
      </c>
      <c r="B154" s="45" t="s">
        <v>340</v>
      </c>
      <c r="C154" s="62" t="s">
        <v>721</v>
      </c>
      <c r="D154" s="14" t="s">
        <v>87</v>
      </c>
      <c r="E154" s="14" t="s">
        <v>35</v>
      </c>
      <c r="F154" s="15" t="s">
        <v>88</v>
      </c>
      <c r="G154" s="15" t="s">
        <v>14</v>
      </c>
      <c r="H154" s="15">
        <v>7</v>
      </c>
      <c r="I154" s="14" t="s">
        <v>249</v>
      </c>
      <c r="J154" s="14" t="s">
        <v>242</v>
      </c>
      <c r="K154" s="15" t="s">
        <v>16</v>
      </c>
      <c r="L154" s="4"/>
    </row>
    <row r="155" spans="1:12" s="16" customFormat="1" ht="42.75" customHeight="1" thickBot="1" x14ac:dyDescent="0.35">
      <c r="A155" s="13">
        <v>150</v>
      </c>
      <c r="B155" s="45" t="s">
        <v>341</v>
      </c>
      <c r="C155" s="62" t="s">
        <v>722</v>
      </c>
      <c r="D155" s="14" t="s">
        <v>87</v>
      </c>
      <c r="E155" s="14" t="s">
        <v>35</v>
      </c>
      <c r="F155" s="15" t="s">
        <v>88</v>
      </c>
      <c r="G155" s="15" t="s">
        <v>14</v>
      </c>
      <c r="H155" s="15">
        <v>7</v>
      </c>
      <c r="I155" s="14" t="s">
        <v>249</v>
      </c>
      <c r="J155" s="14" t="s">
        <v>242</v>
      </c>
      <c r="K155" s="15" t="s">
        <v>16</v>
      </c>
      <c r="L155" s="4"/>
    </row>
    <row r="156" spans="1:12" s="16" customFormat="1" ht="42.75" customHeight="1" thickBot="1" x14ac:dyDescent="0.35">
      <c r="A156" s="13">
        <v>151</v>
      </c>
      <c r="B156" s="45" t="s">
        <v>342</v>
      </c>
      <c r="C156" s="62" t="s">
        <v>723</v>
      </c>
      <c r="D156" s="14" t="s">
        <v>87</v>
      </c>
      <c r="E156" s="14" t="s">
        <v>35</v>
      </c>
      <c r="F156" s="15" t="s">
        <v>255</v>
      </c>
      <c r="G156" s="15" t="s">
        <v>178</v>
      </c>
      <c r="H156" s="15">
        <v>5</v>
      </c>
      <c r="I156" s="14" t="s">
        <v>179</v>
      </c>
      <c r="J156" s="14" t="s">
        <v>234</v>
      </c>
      <c r="K156" s="15" t="s">
        <v>16</v>
      </c>
      <c r="L156" s="4"/>
    </row>
    <row r="157" spans="1:12" s="16" customFormat="1" ht="42.75" customHeight="1" thickBot="1" x14ac:dyDescent="0.35">
      <c r="A157" s="13">
        <v>152</v>
      </c>
      <c r="B157" s="45" t="s">
        <v>343</v>
      </c>
      <c r="C157" s="62" t="s">
        <v>724</v>
      </c>
      <c r="D157" s="14" t="s">
        <v>87</v>
      </c>
      <c r="E157" s="14" t="s">
        <v>35</v>
      </c>
      <c r="F157" s="15" t="s">
        <v>88</v>
      </c>
      <c r="G157" s="15" t="s">
        <v>14</v>
      </c>
      <c r="H157" s="15">
        <v>7</v>
      </c>
      <c r="I157" s="14" t="s">
        <v>249</v>
      </c>
      <c r="J157" s="14" t="s">
        <v>234</v>
      </c>
      <c r="K157" s="15" t="s">
        <v>16</v>
      </c>
      <c r="L157" s="4"/>
    </row>
    <row r="158" spans="1:12" s="16" customFormat="1" ht="31.5" customHeight="1" thickBot="1" x14ac:dyDescent="0.35">
      <c r="A158" s="13">
        <v>153</v>
      </c>
      <c r="B158" s="45" t="s">
        <v>344</v>
      </c>
      <c r="C158" s="63" t="s">
        <v>520</v>
      </c>
      <c r="D158" s="15" t="s">
        <v>87</v>
      </c>
      <c r="E158" s="14" t="s">
        <v>12</v>
      </c>
      <c r="F158" s="15" t="s">
        <v>88</v>
      </c>
      <c r="G158" s="15" t="s">
        <v>14</v>
      </c>
      <c r="H158" s="15">
        <v>7</v>
      </c>
      <c r="I158" s="14" t="s">
        <v>249</v>
      </c>
      <c r="J158" s="14" t="s">
        <v>345</v>
      </c>
      <c r="K158" s="15" t="s">
        <v>16</v>
      </c>
      <c r="L158" s="4"/>
    </row>
    <row r="159" spans="1:12" s="16" customFormat="1" ht="31.5" customHeight="1" thickBot="1" x14ac:dyDescent="0.35">
      <c r="A159" s="13">
        <v>154</v>
      </c>
      <c r="B159" s="45" t="s">
        <v>346</v>
      </c>
      <c r="C159" s="63" t="s">
        <v>553</v>
      </c>
      <c r="D159" s="14" t="s">
        <v>87</v>
      </c>
      <c r="E159" s="14" t="s">
        <v>35</v>
      </c>
      <c r="F159" s="15" t="s">
        <v>88</v>
      </c>
      <c r="G159" s="15" t="s">
        <v>14</v>
      </c>
      <c r="H159" s="15">
        <v>7</v>
      </c>
      <c r="I159" s="14" t="s">
        <v>249</v>
      </c>
      <c r="J159" s="14" t="s">
        <v>345</v>
      </c>
      <c r="K159" s="15" t="s">
        <v>16</v>
      </c>
      <c r="L159" s="4"/>
    </row>
    <row r="160" spans="1:12" s="16" customFormat="1" ht="31.5" customHeight="1" thickBot="1" x14ac:dyDescent="0.35">
      <c r="A160" s="13">
        <v>155</v>
      </c>
      <c r="B160" s="45" t="s">
        <v>347</v>
      </c>
      <c r="C160" s="63" t="s">
        <v>514</v>
      </c>
      <c r="D160" s="14" t="s">
        <v>87</v>
      </c>
      <c r="E160" s="14" t="s">
        <v>35</v>
      </c>
      <c r="F160" s="15" t="s">
        <v>88</v>
      </c>
      <c r="G160" s="15" t="s">
        <v>14</v>
      </c>
      <c r="H160" s="15">
        <v>7</v>
      </c>
      <c r="I160" s="14" t="s">
        <v>249</v>
      </c>
      <c r="J160" s="14" t="s">
        <v>345</v>
      </c>
      <c r="K160" s="15" t="s">
        <v>16</v>
      </c>
      <c r="L160" s="4"/>
    </row>
    <row r="161" spans="1:12" s="16" customFormat="1" ht="31.5" customHeight="1" thickBot="1" x14ac:dyDescent="0.35">
      <c r="A161" s="13">
        <v>156</v>
      </c>
      <c r="B161" s="45" t="s">
        <v>348</v>
      </c>
      <c r="C161" s="63" t="s">
        <v>513</v>
      </c>
      <c r="D161" s="14" t="s">
        <v>87</v>
      </c>
      <c r="E161" s="14" t="s">
        <v>35</v>
      </c>
      <c r="F161" s="15" t="s">
        <v>88</v>
      </c>
      <c r="G161" s="15" t="s">
        <v>14</v>
      </c>
      <c r="H161" s="15">
        <v>7</v>
      </c>
      <c r="I161" s="14" t="s">
        <v>249</v>
      </c>
      <c r="J161" s="14" t="s">
        <v>345</v>
      </c>
      <c r="K161" s="15" t="s">
        <v>16</v>
      </c>
      <c r="L161" s="4"/>
    </row>
    <row r="162" spans="1:12" s="16" customFormat="1" ht="31.5" customHeight="1" thickBot="1" x14ac:dyDescent="0.35">
      <c r="A162" s="13">
        <v>157</v>
      </c>
      <c r="B162" s="45" t="s">
        <v>349</v>
      </c>
      <c r="C162" s="63" t="s">
        <v>515</v>
      </c>
      <c r="D162" s="14" t="s">
        <v>87</v>
      </c>
      <c r="E162" s="14" t="s">
        <v>35</v>
      </c>
      <c r="F162" s="15" t="s">
        <v>88</v>
      </c>
      <c r="G162" s="15" t="s">
        <v>14</v>
      </c>
      <c r="H162" s="15">
        <v>7</v>
      </c>
      <c r="I162" s="14" t="s">
        <v>249</v>
      </c>
      <c r="J162" s="14" t="s">
        <v>345</v>
      </c>
      <c r="K162" s="15" t="s">
        <v>16</v>
      </c>
      <c r="L162" s="4"/>
    </row>
    <row r="163" spans="1:12" s="16" customFormat="1" ht="31.5" customHeight="1" thickBot="1" x14ac:dyDescent="0.35">
      <c r="A163" s="13">
        <v>158</v>
      </c>
      <c r="B163" s="45" t="s">
        <v>350</v>
      </c>
      <c r="C163" s="64" t="s">
        <v>619</v>
      </c>
      <c r="D163" s="14" t="s">
        <v>87</v>
      </c>
      <c r="E163" s="14" t="s">
        <v>12</v>
      </c>
      <c r="F163" s="15" t="s">
        <v>88</v>
      </c>
      <c r="G163" s="15" t="s">
        <v>14</v>
      </c>
      <c r="H163" s="15">
        <v>7</v>
      </c>
      <c r="I163" s="14" t="s">
        <v>249</v>
      </c>
      <c r="J163" s="14" t="s">
        <v>351</v>
      </c>
      <c r="K163" s="15" t="s">
        <v>16</v>
      </c>
      <c r="L163" s="4"/>
    </row>
    <row r="164" spans="1:12" s="16" customFormat="1" ht="31.5" customHeight="1" thickBot="1" x14ac:dyDescent="0.35">
      <c r="A164" s="13">
        <v>159</v>
      </c>
      <c r="B164" s="45" t="s">
        <v>352</v>
      </c>
      <c r="C164" s="64" t="s">
        <v>620</v>
      </c>
      <c r="D164" s="14" t="s">
        <v>87</v>
      </c>
      <c r="E164" s="14" t="s">
        <v>35</v>
      </c>
      <c r="F164" s="15" t="s">
        <v>88</v>
      </c>
      <c r="G164" s="15" t="s">
        <v>14</v>
      </c>
      <c r="H164" s="15">
        <v>7</v>
      </c>
      <c r="I164" s="14" t="s">
        <v>249</v>
      </c>
      <c r="J164" s="18" t="s">
        <v>353</v>
      </c>
      <c r="K164" s="15" t="s">
        <v>16</v>
      </c>
      <c r="L164" s="4"/>
    </row>
    <row r="165" spans="1:12" s="16" customFormat="1" ht="31.5" customHeight="1" thickBot="1" x14ac:dyDescent="0.35">
      <c r="A165" s="13">
        <v>160</v>
      </c>
      <c r="B165" s="45" t="s">
        <v>354</v>
      </c>
      <c r="C165" s="64" t="s">
        <v>621</v>
      </c>
      <c r="D165" s="14" t="s">
        <v>87</v>
      </c>
      <c r="E165" s="14" t="s">
        <v>12</v>
      </c>
      <c r="F165" s="15" t="s">
        <v>88</v>
      </c>
      <c r="G165" s="15" t="s">
        <v>14</v>
      </c>
      <c r="H165" s="15">
        <v>7</v>
      </c>
      <c r="I165" s="14" t="s">
        <v>249</v>
      </c>
      <c r="J165" s="18" t="s">
        <v>353</v>
      </c>
      <c r="K165" s="15" t="s">
        <v>16</v>
      </c>
      <c r="L165" s="4"/>
    </row>
    <row r="166" spans="1:12" s="16" customFormat="1" ht="31.5" customHeight="1" thickBot="1" x14ac:dyDescent="0.35">
      <c r="A166" s="13">
        <v>161</v>
      </c>
      <c r="B166" s="45" t="s">
        <v>355</v>
      </c>
      <c r="C166" s="63" t="s">
        <v>622</v>
      </c>
      <c r="D166" s="14" t="s">
        <v>87</v>
      </c>
      <c r="E166" s="14" t="s">
        <v>35</v>
      </c>
      <c r="F166" s="15" t="s">
        <v>88</v>
      </c>
      <c r="G166" s="15" t="s">
        <v>14</v>
      </c>
      <c r="H166" s="15">
        <v>7</v>
      </c>
      <c r="I166" s="14" t="s">
        <v>249</v>
      </c>
      <c r="J166" s="18" t="s">
        <v>356</v>
      </c>
      <c r="K166" s="15" t="s">
        <v>16</v>
      </c>
      <c r="L166" s="4"/>
    </row>
    <row r="167" spans="1:12" s="16" customFormat="1" ht="31.5" customHeight="1" thickBot="1" x14ac:dyDescent="0.35">
      <c r="A167" s="13">
        <v>162</v>
      </c>
      <c r="B167" s="45" t="s">
        <v>357</v>
      </c>
      <c r="C167" s="64" t="s">
        <v>623</v>
      </c>
      <c r="D167" s="14" t="s">
        <v>87</v>
      </c>
      <c r="E167" s="14" t="s">
        <v>12</v>
      </c>
      <c r="F167" s="15" t="s">
        <v>88</v>
      </c>
      <c r="G167" s="15" t="s">
        <v>14</v>
      </c>
      <c r="H167" s="15">
        <v>7</v>
      </c>
      <c r="I167" s="14" t="s">
        <v>249</v>
      </c>
      <c r="J167" s="18" t="s">
        <v>356</v>
      </c>
      <c r="K167" s="15" t="s">
        <v>16</v>
      </c>
      <c r="L167" s="4"/>
    </row>
    <row r="168" spans="1:12" s="16" customFormat="1" ht="31.5" customHeight="1" thickBot="1" x14ac:dyDescent="0.35">
      <c r="A168" s="13">
        <v>163</v>
      </c>
      <c r="B168" s="45" t="s">
        <v>358</v>
      </c>
      <c r="C168" s="64" t="s">
        <v>624</v>
      </c>
      <c r="D168" s="14" t="s">
        <v>87</v>
      </c>
      <c r="E168" s="14" t="s">
        <v>35</v>
      </c>
      <c r="F168" s="15" t="s">
        <v>88</v>
      </c>
      <c r="G168" s="15" t="s">
        <v>14</v>
      </c>
      <c r="H168" s="15">
        <v>7</v>
      </c>
      <c r="I168" s="14" t="s">
        <v>249</v>
      </c>
      <c r="J168" s="18" t="s">
        <v>356</v>
      </c>
      <c r="K168" s="15" t="s">
        <v>16</v>
      </c>
      <c r="L168" s="4"/>
    </row>
    <row r="169" spans="1:12" s="16" customFormat="1" ht="31.5" customHeight="1" thickBot="1" x14ac:dyDescent="0.35">
      <c r="A169" s="13">
        <v>164</v>
      </c>
      <c r="B169" s="45" t="s">
        <v>359</v>
      </c>
      <c r="C169" s="64" t="s">
        <v>625</v>
      </c>
      <c r="D169" s="14" t="s">
        <v>87</v>
      </c>
      <c r="E169" s="14" t="s">
        <v>35</v>
      </c>
      <c r="F169" s="15" t="s">
        <v>88</v>
      </c>
      <c r="G169" s="15" t="s">
        <v>14</v>
      </c>
      <c r="H169" s="15">
        <v>7</v>
      </c>
      <c r="I169" s="14" t="s">
        <v>249</v>
      </c>
      <c r="J169" s="18" t="s">
        <v>356</v>
      </c>
      <c r="K169" s="15" t="s">
        <v>16</v>
      </c>
      <c r="L169" s="4"/>
    </row>
    <row r="170" spans="1:12" s="16" customFormat="1" ht="34.5" customHeight="1" thickBot="1" x14ac:dyDescent="0.35">
      <c r="A170" s="13">
        <v>165</v>
      </c>
      <c r="B170" s="45" t="s">
        <v>360</v>
      </c>
      <c r="C170" s="64" t="s">
        <v>626</v>
      </c>
      <c r="D170" s="14" t="s">
        <v>87</v>
      </c>
      <c r="E170" s="14" t="s">
        <v>35</v>
      </c>
      <c r="F170" s="15" t="s">
        <v>88</v>
      </c>
      <c r="G170" s="15" t="s">
        <v>14</v>
      </c>
      <c r="H170" s="15">
        <v>7</v>
      </c>
      <c r="I170" s="14" t="s">
        <v>249</v>
      </c>
      <c r="J170" s="18" t="s">
        <v>361</v>
      </c>
      <c r="K170" s="15" t="s">
        <v>16</v>
      </c>
      <c r="L170" s="4"/>
    </row>
    <row r="171" spans="1:12" s="16" customFormat="1" ht="34.5" customHeight="1" thickBot="1" x14ac:dyDescent="0.35">
      <c r="A171" s="13">
        <v>166</v>
      </c>
      <c r="B171" s="45" t="s">
        <v>362</v>
      </c>
      <c r="C171" s="64" t="s">
        <v>627</v>
      </c>
      <c r="D171" s="14" t="s">
        <v>87</v>
      </c>
      <c r="E171" s="14" t="s">
        <v>35</v>
      </c>
      <c r="F171" s="15" t="s">
        <v>255</v>
      </c>
      <c r="G171" s="15" t="s">
        <v>178</v>
      </c>
      <c r="H171" s="15">
        <v>5</v>
      </c>
      <c r="I171" s="14" t="s">
        <v>179</v>
      </c>
      <c r="J171" s="18" t="s">
        <v>363</v>
      </c>
      <c r="K171" s="15" t="s">
        <v>16</v>
      </c>
      <c r="L171" s="4"/>
    </row>
    <row r="172" spans="1:12" ht="31.5" customHeight="1" thickBot="1" x14ac:dyDescent="0.35">
      <c r="A172" s="13">
        <v>167</v>
      </c>
      <c r="B172" s="45" t="s">
        <v>364</v>
      </c>
      <c r="C172" s="64" t="s">
        <v>628</v>
      </c>
      <c r="D172" s="14" t="s">
        <v>87</v>
      </c>
      <c r="E172" s="14" t="s">
        <v>12</v>
      </c>
      <c r="F172" s="15" t="s">
        <v>88</v>
      </c>
      <c r="G172" s="15" t="s">
        <v>14</v>
      </c>
      <c r="H172" s="15">
        <v>7</v>
      </c>
      <c r="I172" s="14" t="s">
        <v>249</v>
      </c>
      <c r="J172" s="18" t="s">
        <v>363</v>
      </c>
      <c r="K172" s="15" t="s">
        <v>16</v>
      </c>
      <c r="L172" s="4"/>
    </row>
    <row r="173" spans="1:12" ht="31.5" customHeight="1" thickBot="1" x14ac:dyDescent="0.35">
      <c r="A173" s="13">
        <v>168</v>
      </c>
      <c r="B173" s="45" t="s">
        <v>365</v>
      </c>
      <c r="C173" s="64" t="s">
        <v>629</v>
      </c>
      <c r="D173" s="14" t="s">
        <v>87</v>
      </c>
      <c r="E173" s="14" t="s">
        <v>35</v>
      </c>
      <c r="F173" s="15" t="s">
        <v>88</v>
      </c>
      <c r="G173" s="15" t="s">
        <v>14</v>
      </c>
      <c r="H173" s="15">
        <v>7</v>
      </c>
      <c r="I173" s="14" t="s">
        <v>249</v>
      </c>
      <c r="J173" s="18" t="s">
        <v>363</v>
      </c>
      <c r="K173" s="15" t="s">
        <v>16</v>
      </c>
      <c r="L173" s="4"/>
    </row>
    <row r="174" spans="1:12" ht="31.5" customHeight="1" thickBot="1" x14ac:dyDescent="0.35">
      <c r="A174" s="13">
        <v>169</v>
      </c>
      <c r="B174" s="45" t="s">
        <v>366</v>
      </c>
      <c r="C174" s="64" t="s">
        <v>630</v>
      </c>
      <c r="D174" s="14" t="s">
        <v>87</v>
      </c>
      <c r="E174" s="14" t="s">
        <v>35</v>
      </c>
      <c r="F174" s="15" t="s">
        <v>88</v>
      </c>
      <c r="G174" s="15" t="s">
        <v>14</v>
      </c>
      <c r="H174" s="15">
        <v>7</v>
      </c>
      <c r="I174" s="14" t="s">
        <v>249</v>
      </c>
      <c r="J174" s="18" t="s">
        <v>198</v>
      </c>
      <c r="K174" s="15" t="s">
        <v>16</v>
      </c>
      <c r="L174" s="4"/>
    </row>
    <row r="175" spans="1:12" ht="31.5" customHeight="1" thickBot="1" x14ac:dyDescent="0.35">
      <c r="A175" s="13">
        <v>170</v>
      </c>
      <c r="B175" s="45" t="s">
        <v>367</v>
      </c>
      <c r="C175" s="64" t="s">
        <v>631</v>
      </c>
      <c r="D175" s="14" t="s">
        <v>87</v>
      </c>
      <c r="E175" s="14" t="s">
        <v>35</v>
      </c>
      <c r="F175" s="15" t="s">
        <v>88</v>
      </c>
      <c r="G175" s="15" t="s">
        <v>14</v>
      </c>
      <c r="H175" s="15">
        <v>7</v>
      </c>
      <c r="I175" s="14" t="s">
        <v>249</v>
      </c>
      <c r="J175" s="18" t="s">
        <v>368</v>
      </c>
      <c r="K175" s="15" t="s">
        <v>16</v>
      </c>
      <c r="L175" s="4"/>
    </row>
    <row r="176" spans="1:12" ht="31.5" customHeight="1" thickBot="1" x14ac:dyDescent="0.35">
      <c r="A176" s="13">
        <v>171</v>
      </c>
      <c r="B176" s="45" t="s">
        <v>369</v>
      </c>
      <c r="C176" s="64" t="s">
        <v>632</v>
      </c>
      <c r="D176" s="14" t="s">
        <v>87</v>
      </c>
      <c r="E176" s="14" t="s">
        <v>12</v>
      </c>
      <c r="F176" s="15" t="s">
        <v>88</v>
      </c>
      <c r="G176" s="15" t="s">
        <v>14</v>
      </c>
      <c r="H176" s="15">
        <v>7</v>
      </c>
      <c r="I176" s="14" t="s">
        <v>249</v>
      </c>
      <c r="J176" s="18" t="s">
        <v>368</v>
      </c>
      <c r="K176" s="15" t="s">
        <v>16</v>
      </c>
      <c r="L176" s="4"/>
    </row>
    <row r="177" spans="1:12" ht="31.5" customHeight="1" thickBot="1" x14ac:dyDescent="0.35">
      <c r="A177" s="13">
        <v>172</v>
      </c>
      <c r="B177" s="45" t="s">
        <v>370</v>
      </c>
      <c r="C177" s="64" t="s">
        <v>633</v>
      </c>
      <c r="D177" s="14" t="s">
        <v>87</v>
      </c>
      <c r="E177" s="14" t="s">
        <v>12</v>
      </c>
      <c r="F177" s="15" t="s">
        <v>88</v>
      </c>
      <c r="G177" s="15" t="s">
        <v>14</v>
      </c>
      <c r="H177" s="15">
        <v>7</v>
      </c>
      <c r="I177" s="14" t="s">
        <v>249</v>
      </c>
      <c r="J177" s="18" t="s">
        <v>368</v>
      </c>
      <c r="K177" s="15" t="s">
        <v>16</v>
      </c>
      <c r="L177" s="4"/>
    </row>
    <row r="178" spans="1:12" ht="31.5" customHeight="1" thickBot="1" x14ac:dyDescent="0.35">
      <c r="A178" s="13">
        <v>173</v>
      </c>
      <c r="B178" s="45" t="s">
        <v>371</v>
      </c>
      <c r="C178" s="64" t="s">
        <v>634</v>
      </c>
      <c r="D178" s="14" t="s">
        <v>87</v>
      </c>
      <c r="E178" s="14" t="s">
        <v>35</v>
      </c>
      <c r="F178" s="15" t="s">
        <v>88</v>
      </c>
      <c r="G178" s="15" t="s">
        <v>14</v>
      </c>
      <c r="H178" s="15">
        <v>7</v>
      </c>
      <c r="I178" s="14" t="s">
        <v>249</v>
      </c>
      <c r="J178" s="18" t="s">
        <v>156</v>
      </c>
      <c r="K178" s="15" t="s">
        <v>16</v>
      </c>
      <c r="L178" s="4"/>
    </row>
    <row r="179" spans="1:12" ht="31.5" customHeight="1" thickBot="1" x14ac:dyDescent="0.35">
      <c r="A179" s="13">
        <v>174</v>
      </c>
      <c r="B179" s="45" t="s">
        <v>372</v>
      </c>
      <c r="C179" s="64" t="s">
        <v>635</v>
      </c>
      <c r="D179" s="14" t="s">
        <v>87</v>
      </c>
      <c r="E179" s="14" t="s">
        <v>12</v>
      </c>
      <c r="F179" s="15" t="s">
        <v>88</v>
      </c>
      <c r="G179" s="15" t="s">
        <v>14</v>
      </c>
      <c r="H179" s="15">
        <v>7</v>
      </c>
      <c r="I179" s="14" t="s">
        <v>249</v>
      </c>
      <c r="J179" s="18" t="s">
        <v>156</v>
      </c>
      <c r="K179" s="15" t="s">
        <v>16</v>
      </c>
      <c r="L179" s="4"/>
    </row>
    <row r="180" spans="1:12" ht="31.5" customHeight="1" thickBot="1" x14ac:dyDescent="0.35">
      <c r="A180" s="13">
        <v>175</v>
      </c>
      <c r="B180" s="45" t="s">
        <v>373</v>
      </c>
      <c r="C180" s="64" t="s">
        <v>636</v>
      </c>
      <c r="D180" s="14" t="s">
        <v>87</v>
      </c>
      <c r="E180" s="14" t="s">
        <v>12</v>
      </c>
      <c r="F180" s="15" t="s">
        <v>88</v>
      </c>
      <c r="G180" s="15" t="s">
        <v>14</v>
      </c>
      <c r="H180" s="15">
        <v>7</v>
      </c>
      <c r="I180" s="14" t="s">
        <v>249</v>
      </c>
      <c r="J180" s="18" t="s">
        <v>156</v>
      </c>
      <c r="K180" s="15" t="s">
        <v>16</v>
      </c>
      <c r="L180" s="4"/>
    </row>
    <row r="181" spans="1:12" ht="31.5" customHeight="1" thickBot="1" x14ac:dyDescent="0.35">
      <c r="A181" s="13">
        <v>176</v>
      </c>
      <c r="B181" s="45" t="s">
        <v>374</v>
      </c>
      <c r="C181" s="64" t="s">
        <v>637</v>
      </c>
      <c r="D181" s="14" t="s">
        <v>87</v>
      </c>
      <c r="E181" s="14" t="s">
        <v>12</v>
      </c>
      <c r="F181" s="15" t="s">
        <v>88</v>
      </c>
      <c r="G181" s="15" t="s">
        <v>14</v>
      </c>
      <c r="H181" s="15">
        <v>7</v>
      </c>
      <c r="I181" s="14" t="s">
        <v>249</v>
      </c>
      <c r="J181" s="18" t="s">
        <v>375</v>
      </c>
      <c r="K181" s="15" t="s">
        <v>16</v>
      </c>
      <c r="L181" s="4"/>
    </row>
    <row r="182" spans="1:12" ht="31.5" customHeight="1" thickBot="1" x14ac:dyDescent="0.35">
      <c r="A182" s="13">
        <v>177</v>
      </c>
      <c r="B182" s="45" t="s">
        <v>376</v>
      </c>
      <c r="C182" s="64" t="s">
        <v>638</v>
      </c>
      <c r="D182" s="14" t="s">
        <v>87</v>
      </c>
      <c r="E182" s="14" t="s">
        <v>12</v>
      </c>
      <c r="F182" s="15" t="s">
        <v>88</v>
      </c>
      <c r="G182" s="15" t="s">
        <v>14</v>
      </c>
      <c r="H182" s="15">
        <v>7</v>
      </c>
      <c r="I182" s="14" t="s">
        <v>249</v>
      </c>
      <c r="J182" s="18" t="s">
        <v>377</v>
      </c>
      <c r="K182" s="15" t="s">
        <v>16</v>
      </c>
      <c r="L182" s="4"/>
    </row>
    <row r="183" spans="1:12" ht="31.5" customHeight="1" thickBot="1" x14ac:dyDescent="0.35">
      <c r="A183" s="13">
        <v>178</v>
      </c>
      <c r="B183" s="45" t="s">
        <v>378</v>
      </c>
      <c r="C183" s="64" t="s">
        <v>639</v>
      </c>
      <c r="D183" s="14" t="s">
        <v>87</v>
      </c>
      <c r="E183" s="14" t="s">
        <v>12</v>
      </c>
      <c r="F183" s="15" t="s">
        <v>88</v>
      </c>
      <c r="G183" s="15" t="s">
        <v>14</v>
      </c>
      <c r="H183" s="15">
        <v>7</v>
      </c>
      <c r="I183" s="14" t="s">
        <v>249</v>
      </c>
      <c r="J183" s="18" t="s">
        <v>377</v>
      </c>
      <c r="K183" s="15" t="s">
        <v>16</v>
      </c>
      <c r="L183" s="4"/>
    </row>
  </sheetData>
  <mergeCells count="1">
    <mergeCell ref="B1:L1"/>
  </mergeCells>
  <phoneticPr fontId="10" type="noConversion"/>
  <pageMargins left="0.31496062992125984" right="0.31496062992125984" top="0.55118110236220474" bottom="0.55118110236220474" header="0.31496062992125984" footer="0.31496062992125984"/>
  <pageSetup paperSize="5" scale="82" orientation="landscape" horizontalDpi="4294967293" verticalDpi="0" r:id="rId1"/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6B16-01A1-452F-AEFD-773ADBDB4C29}">
  <dimension ref="A1:J32"/>
  <sheetViews>
    <sheetView view="pageBreakPreview" zoomScale="98" zoomScaleNormal="100" zoomScaleSheetLayoutView="98" workbookViewId="0">
      <selection activeCell="B9" sqref="B9"/>
    </sheetView>
  </sheetViews>
  <sheetFormatPr defaultRowHeight="14.4" x14ac:dyDescent="0.3"/>
  <cols>
    <col min="1" max="1" width="5.44140625" customWidth="1"/>
    <col min="2" max="2" width="26.33203125" customWidth="1"/>
    <col min="3" max="3" width="22.44140625" customWidth="1"/>
    <col min="4" max="4" width="10.88671875" customWidth="1"/>
    <col min="5" max="5" width="10.109375" customWidth="1"/>
    <col min="6" max="6" width="14" customWidth="1"/>
    <col min="7" max="7" width="23.33203125" customWidth="1"/>
    <col min="8" max="8" width="23.109375" customWidth="1"/>
    <col min="9" max="9" width="29.5546875" customWidth="1"/>
    <col min="10" max="10" width="11.44140625" customWidth="1"/>
  </cols>
  <sheetData>
    <row r="1" spans="1:10" ht="16.2" thickBot="1" x14ac:dyDescent="0.35">
      <c r="A1" s="232" t="s">
        <v>379</v>
      </c>
      <c r="B1" s="233"/>
      <c r="C1" s="233"/>
      <c r="D1" s="233"/>
      <c r="E1" s="233"/>
      <c r="F1" s="233"/>
      <c r="G1" s="233"/>
      <c r="H1" s="233"/>
      <c r="I1" s="233"/>
      <c r="J1" s="234"/>
    </row>
    <row r="2" spans="1:10" ht="15" thickBot="1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0" ht="16.2" thickBot="1" x14ac:dyDescent="0.35">
      <c r="A3" s="5" t="s">
        <v>16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5" thickBot="1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0" ht="31.8" thickBot="1" x14ac:dyDescent="0.35">
      <c r="A5" s="8" t="s">
        <v>0</v>
      </c>
      <c r="B5" s="1" t="s">
        <v>81</v>
      </c>
      <c r="C5" s="1" t="s">
        <v>1</v>
      </c>
      <c r="D5" s="1" t="s">
        <v>82</v>
      </c>
      <c r="E5" s="1" t="s">
        <v>2</v>
      </c>
      <c r="F5" s="1" t="s">
        <v>4</v>
      </c>
      <c r="G5" s="1" t="s">
        <v>6</v>
      </c>
      <c r="H5" s="1" t="s">
        <v>84</v>
      </c>
      <c r="I5" s="1" t="s">
        <v>8</v>
      </c>
      <c r="J5" s="1" t="s">
        <v>85</v>
      </c>
    </row>
    <row r="6" spans="1:10" ht="33.75" customHeight="1" thickBot="1" x14ac:dyDescent="0.35">
      <c r="A6" s="31">
        <v>1</v>
      </c>
      <c r="B6" s="9" t="s">
        <v>380</v>
      </c>
      <c r="C6" s="10" t="s">
        <v>487</v>
      </c>
      <c r="D6" s="32" t="s">
        <v>87</v>
      </c>
      <c r="E6" s="32" t="s">
        <v>12</v>
      </c>
      <c r="F6" s="11" t="s">
        <v>178</v>
      </c>
      <c r="G6" s="10" t="s">
        <v>381</v>
      </c>
      <c r="H6" s="10" t="s">
        <v>16</v>
      </c>
      <c r="I6" s="10" t="s">
        <v>16</v>
      </c>
      <c r="J6" s="32" t="s">
        <v>382</v>
      </c>
    </row>
    <row r="7" spans="1:10" ht="33.75" customHeight="1" thickBot="1" x14ac:dyDescent="0.35">
      <c r="A7" s="31">
        <v>2</v>
      </c>
      <c r="B7" s="9" t="s">
        <v>383</v>
      </c>
      <c r="C7" s="10" t="s">
        <v>488</v>
      </c>
      <c r="D7" s="32" t="s">
        <v>87</v>
      </c>
      <c r="E7" s="32" t="s">
        <v>12</v>
      </c>
      <c r="F7" s="11" t="s">
        <v>14</v>
      </c>
      <c r="G7" s="10" t="s">
        <v>249</v>
      </c>
      <c r="H7" s="10" t="s">
        <v>16</v>
      </c>
      <c r="I7" s="10" t="s">
        <v>16</v>
      </c>
      <c r="J7" s="32" t="s">
        <v>382</v>
      </c>
    </row>
    <row r="8" spans="1:10" ht="33.75" customHeight="1" thickBot="1" x14ac:dyDescent="0.35">
      <c r="A8" s="31">
        <v>3</v>
      </c>
      <c r="B8" s="9" t="s">
        <v>384</v>
      </c>
      <c r="C8" s="10" t="s">
        <v>489</v>
      </c>
      <c r="D8" s="32" t="s">
        <v>87</v>
      </c>
      <c r="E8" s="32" t="s">
        <v>12</v>
      </c>
      <c r="F8" s="11" t="s">
        <v>14</v>
      </c>
      <c r="G8" s="10" t="s">
        <v>249</v>
      </c>
      <c r="H8" s="10" t="s">
        <v>16</v>
      </c>
      <c r="I8" s="10" t="s">
        <v>16</v>
      </c>
      <c r="J8" s="32" t="s">
        <v>382</v>
      </c>
    </row>
    <row r="9" spans="1:10" ht="33.75" customHeight="1" thickBot="1" x14ac:dyDescent="0.35">
      <c r="A9" s="31">
        <v>4</v>
      </c>
      <c r="B9" s="9" t="s">
        <v>385</v>
      </c>
      <c r="C9" s="10" t="s">
        <v>490</v>
      </c>
      <c r="D9" s="32" t="s">
        <v>87</v>
      </c>
      <c r="E9" s="32" t="s">
        <v>12</v>
      </c>
      <c r="F9" s="11" t="s">
        <v>178</v>
      </c>
      <c r="G9" s="10" t="s">
        <v>381</v>
      </c>
      <c r="H9" s="10" t="s">
        <v>16</v>
      </c>
      <c r="I9" s="10" t="s">
        <v>16</v>
      </c>
      <c r="J9" s="32" t="s">
        <v>382</v>
      </c>
    </row>
    <row r="10" spans="1:10" ht="33.75" customHeight="1" thickBot="1" x14ac:dyDescent="0.35">
      <c r="A10" s="31">
        <v>5</v>
      </c>
      <c r="B10" s="9" t="s">
        <v>386</v>
      </c>
      <c r="C10" s="10" t="s">
        <v>491</v>
      </c>
      <c r="D10" s="32" t="s">
        <v>87</v>
      </c>
      <c r="E10" s="32" t="s">
        <v>12</v>
      </c>
      <c r="F10" s="11" t="s">
        <v>178</v>
      </c>
      <c r="G10" s="10" t="s">
        <v>381</v>
      </c>
      <c r="H10" s="10" t="s">
        <v>16</v>
      </c>
      <c r="I10" s="10" t="s">
        <v>16</v>
      </c>
      <c r="J10" s="32" t="s">
        <v>382</v>
      </c>
    </row>
    <row r="11" spans="1:10" ht="33.75" customHeight="1" thickBot="1" x14ac:dyDescent="0.35">
      <c r="A11" s="31">
        <v>6</v>
      </c>
      <c r="B11" s="9" t="s">
        <v>387</v>
      </c>
      <c r="C11" s="10" t="s">
        <v>492</v>
      </c>
      <c r="D11" s="32" t="s">
        <v>87</v>
      </c>
      <c r="E11" s="32" t="s">
        <v>12</v>
      </c>
      <c r="F11" s="11" t="s">
        <v>178</v>
      </c>
      <c r="G11" s="10" t="s">
        <v>381</v>
      </c>
      <c r="H11" s="10" t="s">
        <v>16</v>
      </c>
      <c r="I11" s="10" t="s">
        <v>16</v>
      </c>
      <c r="J11" s="32" t="s">
        <v>382</v>
      </c>
    </row>
    <row r="12" spans="1:10" ht="33.75" customHeight="1" thickBot="1" x14ac:dyDescent="0.35">
      <c r="A12" s="31">
        <v>7</v>
      </c>
      <c r="B12" s="9" t="s">
        <v>388</v>
      </c>
      <c r="C12" s="10" t="s">
        <v>493</v>
      </c>
      <c r="D12" s="32" t="s">
        <v>87</v>
      </c>
      <c r="E12" s="32" t="s">
        <v>35</v>
      </c>
      <c r="F12" s="11" t="s">
        <v>14</v>
      </c>
      <c r="G12" s="10" t="s">
        <v>249</v>
      </c>
      <c r="H12" s="10" t="s">
        <v>16</v>
      </c>
      <c r="I12" s="10" t="s">
        <v>16</v>
      </c>
      <c r="J12" s="32" t="s">
        <v>382</v>
      </c>
    </row>
    <row r="13" spans="1:10" ht="33.75" customHeight="1" thickBot="1" x14ac:dyDescent="0.35">
      <c r="A13" s="31">
        <v>8</v>
      </c>
      <c r="B13" s="9" t="s">
        <v>389</v>
      </c>
      <c r="C13" s="10" t="s">
        <v>494</v>
      </c>
      <c r="D13" s="32" t="s">
        <v>87</v>
      </c>
      <c r="E13" s="32" t="s">
        <v>35</v>
      </c>
      <c r="F13" s="11" t="s">
        <v>178</v>
      </c>
      <c r="G13" s="10" t="s">
        <v>381</v>
      </c>
      <c r="H13" s="10" t="s">
        <v>16</v>
      </c>
      <c r="I13" s="10" t="s">
        <v>16</v>
      </c>
      <c r="J13" s="32" t="s">
        <v>382</v>
      </c>
    </row>
    <row r="14" spans="1:10" ht="33.75" customHeight="1" thickBot="1" x14ac:dyDescent="0.35">
      <c r="A14" s="31">
        <v>9</v>
      </c>
      <c r="B14" s="9" t="s">
        <v>390</v>
      </c>
      <c r="C14" s="10" t="s">
        <v>495</v>
      </c>
      <c r="D14" s="32" t="s">
        <v>87</v>
      </c>
      <c r="E14" s="32" t="s">
        <v>35</v>
      </c>
      <c r="F14" s="11" t="s">
        <v>178</v>
      </c>
      <c r="G14" s="10" t="s">
        <v>381</v>
      </c>
      <c r="H14" s="10" t="s">
        <v>16</v>
      </c>
      <c r="I14" s="10" t="s">
        <v>16</v>
      </c>
      <c r="J14" s="32" t="s">
        <v>382</v>
      </c>
    </row>
    <row r="15" spans="1:10" ht="33.75" customHeight="1" thickBot="1" x14ac:dyDescent="0.35">
      <c r="A15" s="31">
        <v>10</v>
      </c>
      <c r="B15" s="9" t="s">
        <v>391</v>
      </c>
      <c r="C15" s="10" t="s">
        <v>496</v>
      </c>
      <c r="D15" s="32" t="s">
        <v>87</v>
      </c>
      <c r="E15" s="32" t="s">
        <v>12</v>
      </c>
      <c r="F15" s="11" t="s">
        <v>178</v>
      </c>
      <c r="G15" s="10" t="s">
        <v>381</v>
      </c>
      <c r="H15" s="10" t="s">
        <v>16</v>
      </c>
      <c r="I15" s="10" t="s">
        <v>16</v>
      </c>
      <c r="J15" s="32" t="s">
        <v>382</v>
      </c>
    </row>
    <row r="16" spans="1:10" ht="33.75" customHeight="1" thickBot="1" x14ac:dyDescent="0.35">
      <c r="A16" s="31">
        <v>11</v>
      </c>
      <c r="B16" s="9" t="s">
        <v>392</v>
      </c>
      <c r="C16" s="10" t="s">
        <v>497</v>
      </c>
      <c r="D16" s="12" t="s">
        <v>87</v>
      </c>
      <c r="E16" s="12" t="s">
        <v>12</v>
      </c>
      <c r="F16" s="11" t="s">
        <v>178</v>
      </c>
      <c r="G16" s="10" t="s">
        <v>381</v>
      </c>
      <c r="H16" s="10" t="s">
        <v>16</v>
      </c>
      <c r="I16" s="10" t="s">
        <v>16</v>
      </c>
      <c r="J16" s="32" t="s">
        <v>382</v>
      </c>
    </row>
    <row r="17" spans="1:10" ht="33.75" customHeight="1" thickBot="1" x14ac:dyDescent="0.35">
      <c r="A17" s="31">
        <v>12</v>
      </c>
      <c r="B17" s="9" t="s">
        <v>393</v>
      </c>
      <c r="C17" s="10" t="s">
        <v>498</v>
      </c>
      <c r="D17" s="12" t="s">
        <v>87</v>
      </c>
      <c r="E17" s="12" t="s">
        <v>12</v>
      </c>
      <c r="F17" s="11" t="s">
        <v>178</v>
      </c>
      <c r="G17" s="10" t="s">
        <v>381</v>
      </c>
      <c r="H17" s="10" t="s">
        <v>16</v>
      </c>
      <c r="I17" s="10" t="s">
        <v>16</v>
      </c>
      <c r="J17" s="32" t="s">
        <v>382</v>
      </c>
    </row>
    <row r="18" spans="1:10" ht="33.75" customHeight="1" thickBot="1" x14ac:dyDescent="0.35">
      <c r="A18" s="31">
        <v>13</v>
      </c>
      <c r="B18" s="9" t="s">
        <v>394</v>
      </c>
      <c r="C18" s="41" t="s">
        <v>766</v>
      </c>
      <c r="D18" s="12" t="s">
        <v>87</v>
      </c>
      <c r="E18" s="12" t="s">
        <v>12</v>
      </c>
      <c r="F18" s="11" t="s">
        <v>178</v>
      </c>
      <c r="G18" s="10" t="s">
        <v>381</v>
      </c>
      <c r="H18" s="10" t="s">
        <v>16</v>
      </c>
      <c r="I18" s="10" t="s">
        <v>16</v>
      </c>
      <c r="J18" s="32" t="s">
        <v>382</v>
      </c>
    </row>
    <row r="19" spans="1:10" ht="33.75" customHeight="1" thickBot="1" x14ac:dyDescent="0.35">
      <c r="A19" s="31">
        <v>14</v>
      </c>
      <c r="B19" s="9" t="s">
        <v>395</v>
      </c>
      <c r="C19" s="10" t="s">
        <v>499</v>
      </c>
      <c r="D19" s="12" t="s">
        <v>87</v>
      </c>
      <c r="E19" s="12" t="s">
        <v>12</v>
      </c>
      <c r="F19" s="11" t="s">
        <v>178</v>
      </c>
      <c r="G19" s="10" t="s">
        <v>381</v>
      </c>
      <c r="H19" s="10" t="s">
        <v>16</v>
      </c>
      <c r="I19" s="10" t="s">
        <v>16</v>
      </c>
      <c r="J19" s="32" t="s">
        <v>382</v>
      </c>
    </row>
    <row r="20" spans="1:10" ht="33.75" customHeight="1" thickBot="1" x14ac:dyDescent="0.35">
      <c r="A20" s="31">
        <v>15</v>
      </c>
      <c r="B20" s="9" t="s">
        <v>396</v>
      </c>
      <c r="C20" s="10" t="s">
        <v>500</v>
      </c>
      <c r="D20" s="12" t="s">
        <v>87</v>
      </c>
      <c r="E20" s="12" t="s">
        <v>12</v>
      </c>
      <c r="F20" s="11" t="s">
        <v>178</v>
      </c>
      <c r="G20" s="10" t="s">
        <v>381</v>
      </c>
      <c r="H20" s="10" t="s">
        <v>16</v>
      </c>
      <c r="I20" s="10" t="s">
        <v>16</v>
      </c>
      <c r="J20" s="32" t="s">
        <v>382</v>
      </c>
    </row>
    <row r="21" spans="1:10" ht="33.75" customHeight="1" thickBot="1" x14ac:dyDescent="0.35">
      <c r="A21" s="31">
        <v>16</v>
      </c>
      <c r="B21" s="9" t="s">
        <v>397</v>
      </c>
      <c r="C21" s="10" t="s">
        <v>501</v>
      </c>
      <c r="D21" s="12" t="s">
        <v>87</v>
      </c>
      <c r="E21" s="12" t="s">
        <v>12</v>
      </c>
      <c r="F21" s="11" t="s">
        <v>14</v>
      </c>
      <c r="G21" s="10" t="s">
        <v>381</v>
      </c>
      <c r="H21" s="10" t="s">
        <v>16</v>
      </c>
      <c r="I21" s="10" t="s">
        <v>16</v>
      </c>
      <c r="J21" s="32" t="s">
        <v>382</v>
      </c>
    </row>
    <row r="22" spans="1:10" ht="33.75" customHeight="1" thickBot="1" x14ac:dyDescent="0.35">
      <c r="A22" s="31">
        <v>17</v>
      </c>
      <c r="B22" s="9" t="s">
        <v>398</v>
      </c>
      <c r="C22" s="10" t="s">
        <v>502</v>
      </c>
      <c r="D22" s="12" t="s">
        <v>87</v>
      </c>
      <c r="E22" s="12" t="s">
        <v>12</v>
      </c>
      <c r="F22" s="11" t="s">
        <v>14</v>
      </c>
      <c r="G22" s="10" t="s">
        <v>381</v>
      </c>
      <c r="H22" s="10" t="s">
        <v>16</v>
      </c>
      <c r="I22" s="10" t="s">
        <v>16</v>
      </c>
      <c r="J22" s="32" t="s">
        <v>382</v>
      </c>
    </row>
    <row r="23" spans="1:10" ht="33.75" customHeight="1" thickBot="1" x14ac:dyDescent="0.35">
      <c r="A23" s="31">
        <v>18</v>
      </c>
      <c r="B23" s="9" t="s">
        <v>399</v>
      </c>
      <c r="C23" s="41" t="s">
        <v>503</v>
      </c>
      <c r="D23" s="12" t="s">
        <v>87</v>
      </c>
      <c r="E23" s="12" t="s">
        <v>12</v>
      </c>
      <c r="F23" s="11" t="s">
        <v>178</v>
      </c>
      <c r="G23" s="10" t="s">
        <v>381</v>
      </c>
      <c r="H23" s="10" t="s">
        <v>16</v>
      </c>
      <c r="I23" s="10" t="s">
        <v>16</v>
      </c>
      <c r="J23" s="32" t="s">
        <v>382</v>
      </c>
    </row>
    <row r="24" spans="1:10" ht="33.75" customHeight="1" thickBot="1" x14ac:dyDescent="0.35">
      <c r="A24" s="31">
        <v>19</v>
      </c>
      <c r="B24" s="9" t="s">
        <v>400</v>
      </c>
      <c r="C24" s="10" t="s">
        <v>504</v>
      </c>
      <c r="D24" s="12" t="s">
        <v>87</v>
      </c>
      <c r="E24" s="12" t="s">
        <v>35</v>
      </c>
      <c r="F24" s="11" t="s">
        <v>14</v>
      </c>
      <c r="G24" s="10" t="s">
        <v>249</v>
      </c>
      <c r="H24" s="10" t="s">
        <v>16</v>
      </c>
      <c r="I24" s="10" t="s">
        <v>16</v>
      </c>
      <c r="J24" s="32" t="s">
        <v>382</v>
      </c>
    </row>
    <row r="25" spans="1:10" ht="33.75" customHeight="1" thickBot="1" x14ac:dyDescent="0.35">
      <c r="A25" s="31">
        <v>20</v>
      </c>
      <c r="B25" s="9" t="s">
        <v>401</v>
      </c>
      <c r="C25" s="10" t="s">
        <v>505</v>
      </c>
      <c r="D25" s="12" t="s">
        <v>87</v>
      </c>
      <c r="E25" s="12" t="s">
        <v>35</v>
      </c>
      <c r="F25" s="11" t="s">
        <v>178</v>
      </c>
      <c r="G25" s="10" t="s">
        <v>381</v>
      </c>
      <c r="H25" s="10" t="s">
        <v>16</v>
      </c>
      <c r="I25" s="10" t="s">
        <v>16</v>
      </c>
      <c r="J25" s="32" t="s">
        <v>382</v>
      </c>
    </row>
    <row r="26" spans="1:10" ht="33.75" customHeight="1" thickBot="1" x14ac:dyDescent="0.35">
      <c r="A26" s="31">
        <v>21</v>
      </c>
      <c r="B26" s="9" t="s">
        <v>402</v>
      </c>
      <c r="C26" s="10" t="s">
        <v>506</v>
      </c>
      <c r="D26" s="12" t="s">
        <v>87</v>
      </c>
      <c r="E26" s="12" t="s">
        <v>12</v>
      </c>
      <c r="F26" s="11" t="s">
        <v>14</v>
      </c>
      <c r="G26" s="10" t="s">
        <v>249</v>
      </c>
      <c r="H26" s="10" t="s">
        <v>16</v>
      </c>
      <c r="I26" s="10" t="s">
        <v>16</v>
      </c>
      <c r="J26" s="32" t="s">
        <v>382</v>
      </c>
    </row>
    <row r="27" spans="1:10" ht="33.75" customHeight="1" thickBot="1" x14ac:dyDescent="0.35">
      <c r="A27" s="31">
        <v>22</v>
      </c>
      <c r="B27" s="9" t="s">
        <v>403</v>
      </c>
      <c r="C27" s="10" t="s">
        <v>507</v>
      </c>
      <c r="D27" s="12" t="s">
        <v>87</v>
      </c>
      <c r="E27" s="12" t="s">
        <v>12</v>
      </c>
      <c r="F27" s="11" t="s">
        <v>14</v>
      </c>
      <c r="G27" s="10" t="s">
        <v>249</v>
      </c>
      <c r="H27" s="10" t="s">
        <v>16</v>
      </c>
      <c r="I27" s="10" t="s">
        <v>16</v>
      </c>
      <c r="J27" s="32" t="s">
        <v>382</v>
      </c>
    </row>
    <row r="28" spans="1:10" ht="33.75" customHeight="1" thickBot="1" x14ac:dyDescent="0.35">
      <c r="A28" s="31">
        <v>23</v>
      </c>
      <c r="B28" s="9" t="s">
        <v>404</v>
      </c>
      <c r="C28" s="10" t="s">
        <v>508</v>
      </c>
      <c r="D28" s="12" t="s">
        <v>87</v>
      </c>
      <c r="E28" s="12" t="s">
        <v>12</v>
      </c>
      <c r="F28" s="11" t="s">
        <v>178</v>
      </c>
      <c r="G28" s="10" t="s">
        <v>381</v>
      </c>
      <c r="H28" s="10" t="s">
        <v>16</v>
      </c>
      <c r="I28" s="10" t="s">
        <v>16</v>
      </c>
      <c r="J28" s="32" t="s">
        <v>382</v>
      </c>
    </row>
    <row r="29" spans="1:10" ht="33.75" customHeight="1" thickBot="1" x14ac:dyDescent="0.35">
      <c r="A29" s="31">
        <v>24</v>
      </c>
      <c r="B29" s="9" t="s">
        <v>405</v>
      </c>
      <c r="C29" s="10" t="s">
        <v>509</v>
      </c>
      <c r="D29" s="12" t="s">
        <v>87</v>
      </c>
      <c r="E29" s="12" t="s">
        <v>35</v>
      </c>
      <c r="F29" s="11" t="s">
        <v>178</v>
      </c>
      <c r="G29" s="10" t="s">
        <v>381</v>
      </c>
      <c r="H29" s="10" t="s">
        <v>16</v>
      </c>
      <c r="I29" s="10" t="s">
        <v>16</v>
      </c>
      <c r="J29" s="32" t="s">
        <v>382</v>
      </c>
    </row>
    <row r="30" spans="1:10" ht="33.75" customHeight="1" thickBot="1" x14ac:dyDescent="0.35">
      <c r="A30" s="31">
        <v>25</v>
      </c>
      <c r="B30" s="9" t="s">
        <v>406</v>
      </c>
      <c r="C30" s="10" t="s">
        <v>510</v>
      </c>
      <c r="D30" s="12" t="s">
        <v>87</v>
      </c>
      <c r="E30" s="12" t="s">
        <v>12</v>
      </c>
      <c r="F30" s="11" t="s">
        <v>178</v>
      </c>
      <c r="G30" s="10" t="s">
        <v>381</v>
      </c>
      <c r="H30" s="10" t="s">
        <v>16</v>
      </c>
      <c r="I30" s="10" t="s">
        <v>16</v>
      </c>
      <c r="J30" s="32" t="s">
        <v>382</v>
      </c>
    </row>
    <row r="31" spans="1:10" ht="33.75" customHeight="1" thickBot="1" x14ac:dyDescent="0.35">
      <c r="A31" s="31">
        <v>26</v>
      </c>
      <c r="B31" s="9" t="s">
        <v>407</v>
      </c>
      <c r="C31" s="10" t="s">
        <v>511</v>
      </c>
      <c r="D31" s="12" t="s">
        <v>87</v>
      </c>
      <c r="E31" s="12" t="s">
        <v>12</v>
      </c>
      <c r="F31" s="11" t="s">
        <v>178</v>
      </c>
      <c r="G31" s="10" t="s">
        <v>381</v>
      </c>
      <c r="H31" s="10" t="s">
        <v>16</v>
      </c>
      <c r="I31" s="10" t="s">
        <v>16</v>
      </c>
      <c r="J31" s="32" t="s">
        <v>382</v>
      </c>
    </row>
    <row r="32" spans="1:10" ht="33.75" customHeight="1" thickBot="1" x14ac:dyDescent="0.35">
      <c r="A32" s="31">
        <v>27</v>
      </c>
      <c r="B32" s="9" t="s">
        <v>408</v>
      </c>
      <c r="C32" s="10" t="s">
        <v>512</v>
      </c>
      <c r="D32" s="12" t="s">
        <v>87</v>
      </c>
      <c r="E32" s="12" t="s">
        <v>12</v>
      </c>
      <c r="F32" s="11" t="s">
        <v>178</v>
      </c>
      <c r="G32" s="10" t="s">
        <v>381</v>
      </c>
      <c r="H32" s="10" t="s">
        <v>16</v>
      </c>
      <c r="I32" s="10" t="s">
        <v>16</v>
      </c>
      <c r="J32" s="32" t="s">
        <v>382</v>
      </c>
    </row>
  </sheetData>
  <mergeCells count="1">
    <mergeCell ref="A1:J1"/>
  </mergeCells>
  <pageMargins left="0.7" right="0.7" top="0.75" bottom="0.75" header="0.3" footer="0.3"/>
  <pageSetup scale="69" orientation="landscape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F897-7441-44C9-85A0-188A2D238A4E}">
  <dimension ref="A1:L38"/>
  <sheetViews>
    <sheetView topLeftCell="A25" workbookViewId="0">
      <selection activeCell="I45" sqref="I45"/>
    </sheetView>
  </sheetViews>
  <sheetFormatPr defaultRowHeight="14.4" x14ac:dyDescent="0.3"/>
  <cols>
    <col min="1" max="1" width="6.109375" customWidth="1"/>
    <col min="2" max="2" width="24.6640625" customWidth="1"/>
    <col min="3" max="3" width="19.88671875" customWidth="1"/>
    <col min="9" max="9" width="36.6640625" customWidth="1"/>
    <col min="10" max="10" width="35" customWidth="1"/>
    <col min="11" max="11" width="41.109375" customWidth="1"/>
    <col min="12" max="12" width="10.6640625" bestFit="1" customWidth="1"/>
  </cols>
  <sheetData>
    <row r="1" spans="1:12" ht="18" x14ac:dyDescent="0.35">
      <c r="A1" s="48" t="s">
        <v>550</v>
      </c>
      <c r="B1" s="48"/>
      <c r="C1" s="48"/>
    </row>
    <row r="2" spans="1:12" ht="15" thickBot="1" x14ac:dyDescent="0.35"/>
    <row r="3" spans="1:12" ht="26.4" x14ac:dyDescent="0.3">
      <c r="A3" s="49" t="s">
        <v>0</v>
      </c>
      <c r="B3" s="50" t="s">
        <v>81</v>
      </c>
      <c r="C3" s="50" t="s">
        <v>1</v>
      </c>
      <c r="D3" s="50" t="s">
        <v>82</v>
      </c>
      <c r="E3" s="50" t="s">
        <v>2</v>
      </c>
      <c r="F3" s="50" t="s">
        <v>3</v>
      </c>
      <c r="G3" s="50" t="s">
        <v>4</v>
      </c>
      <c r="H3" s="50" t="s">
        <v>159</v>
      </c>
      <c r="I3" s="50" t="s">
        <v>6</v>
      </c>
      <c r="J3" s="50" t="s">
        <v>84</v>
      </c>
      <c r="K3" s="50" t="s">
        <v>8</v>
      </c>
      <c r="L3" s="51" t="s">
        <v>85</v>
      </c>
    </row>
    <row r="4" spans="1:12" ht="30.75" customHeight="1" x14ac:dyDescent="0.3">
      <c r="A4" s="78">
        <v>1</v>
      </c>
      <c r="B4" s="79" t="s">
        <v>181</v>
      </c>
      <c r="C4" s="80" t="s">
        <v>531</v>
      </c>
      <c r="D4" s="81" t="s">
        <v>106</v>
      </c>
      <c r="E4" s="81" t="s">
        <v>12</v>
      </c>
      <c r="F4" s="81" t="s">
        <v>110</v>
      </c>
      <c r="G4" s="81" t="s">
        <v>178</v>
      </c>
      <c r="H4" s="81">
        <v>5</v>
      </c>
      <c r="I4" s="81" t="s">
        <v>179</v>
      </c>
      <c r="J4" s="81" t="s">
        <v>180</v>
      </c>
      <c r="K4" s="81" t="s">
        <v>16</v>
      </c>
      <c r="L4" s="86" t="s">
        <v>549</v>
      </c>
    </row>
    <row r="5" spans="1:12" ht="30.75" customHeight="1" x14ac:dyDescent="0.3">
      <c r="A5" s="78">
        <v>2</v>
      </c>
      <c r="B5" s="79" t="s">
        <v>194</v>
      </c>
      <c r="C5" s="82" t="s">
        <v>542</v>
      </c>
      <c r="D5" s="81" t="s">
        <v>106</v>
      </c>
      <c r="E5" s="81" t="s">
        <v>35</v>
      </c>
      <c r="F5" s="81" t="s">
        <v>117</v>
      </c>
      <c r="G5" s="81" t="s">
        <v>178</v>
      </c>
      <c r="H5" s="81">
        <v>5</v>
      </c>
      <c r="I5" s="81" t="s">
        <v>179</v>
      </c>
      <c r="J5" s="81" t="s">
        <v>191</v>
      </c>
      <c r="K5" s="81" t="s">
        <v>16</v>
      </c>
      <c r="L5" s="86" t="s">
        <v>549</v>
      </c>
    </row>
    <row r="6" spans="1:12" ht="30.75" customHeight="1" thickBot="1" x14ac:dyDescent="0.35">
      <c r="A6" s="74">
        <v>3</v>
      </c>
      <c r="B6" s="75" t="s">
        <v>139</v>
      </c>
      <c r="C6" s="76" t="s">
        <v>551</v>
      </c>
      <c r="D6" s="77" t="s">
        <v>106</v>
      </c>
      <c r="E6" s="77" t="s">
        <v>12</v>
      </c>
      <c r="F6" s="77" t="s">
        <v>13</v>
      </c>
      <c r="G6" s="77" t="s">
        <v>14</v>
      </c>
      <c r="H6" s="77" t="s">
        <v>135</v>
      </c>
      <c r="I6" s="77" t="s">
        <v>118</v>
      </c>
      <c r="J6" s="77" t="s">
        <v>16</v>
      </c>
      <c r="K6" s="77" t="s">
        <v>16</v>
      </c>
      <c r="L6" s="52" t="s">
        <v>549</v>
      </c>
    </row>
    <row r="9" spans="1:12" ht="18" x14ac:dyDescent="0.35">
      <c r="A9" s="48" t="s">
        <v>616</v>
      </c>
      <c r="B9" s="48"/>
      <c r="C9" s="48"/>
    </row>
    <row r="10" spans="1:12" ht="15" thickBot="1" x14ac:dyDescent="0.35"/>
    <row r="11" spans="1:12" ht="27" thickBot="1" x14ac:dyDescent="0.35">
      <c r="A11" s="72" t="s">
        <v>0</v>
      </c>
      <c r="B11" s="73" t="s">
        <v>81</v>
      </c>
      <c r="C11" s="73" t="s">
        <v>1</v>
      </c>
      <c r="D11" s="73" t="s">
        <v>82</v>
      </c>
      <c r="E11" s="73" t="s">
        <v>2</v>
      </c>
      <c r="F11" s="73" t="s">
        <v>3</v>
      </c>
      <c r="G11" s="73" t="s">
        <v>4</v>
      </c>
      <c r="H11" s="73" t="s">
        <v>159</v>
      </c>
      <c r="I11" s="73" t="s">
        <v>6</v>
      </c>
      <c r="J11" s="73" t="s">
        <v>84</v>
      </c>
      <c r="K11" s="73" t="s">
        <v>8</v>
      </c>
      <c r="L11" s="51" t="s">
        <v>85</v>
      </c>
    </row>
    <row r="12" spans="1:12" ht="27" thickBot="1" x14ac:dyDescent="0.35">
      <c r="A12" s="78">
        <v>1</v>
      </c>
      <c r="B12" s="83" t="s">
        <v>243</v>
      </c>
      <c r="C12" s="84" t="s">
        <v>618</v>
      </c>
      <c r="D12" s="85" t="s">
        <v>106</v>
      </c>
      <c r="E12" s="85" t="s">
        <v>12</v>
      </c>
      <c r="F12" s="85" t="s">
        <v>175</v>
      </c>
      <c r="G12" s="85" t="s">
        <v>178</v>
      </c>
      <c r="H12" s="85">
        <v>5</v>
      </c>
      <c r="I12" s="85" t="s">
        <v>179</v>
      </c>
      <c r="J12" s="85" t="s">
        <v>244</v>
      </c>
      <c r="K12" s="85" t="s">
        <v>16</v>
      </c>
      <c r="L12" s="86" t="s">
        <v>617</v>
      </c>
    </row>
    <row r="16" spans="1:12" ht="18.600000000000001" thickBot="1" x14ac:dyDescent="0.4">
      <c r="A16" s="48" t="s">
        <v>641</v>
      </c>
      <c r="B16" s="48"/>
      <c r="C16" s="48"/>
    </row>
    <row r="17" spans="1:12" ht="27" thickBot="1" x14ac:dyDescent="0.35">
      <c r="A17" s="72" t="s">
        <v>0</v>
      </c>
      <c r="B17" s="73" t="s">
        <v>81</v>
      </c>
      <c r="C17" s="73" t="s">
        <v>1</v>
      </c>
      <c r="D17" s="73" t="s">
        <v>82</v>
      </c>
      <c r="E17" s="73" t="s">
        <v>2</v>
      </c>
      <c r="F17" s="73" t="s">
        <v>3</v>
      </c>
      <c r="G17" s="73" t="s">
        <v>4</v>
      </c>
      <c r="H17" s="73" t="s">
        <v>159</v>
      </c>
      <c r="I17" s="73" t="s">
        <v>6</v>
      </c>
      <c r="J17" s="73" t="s">
        <v>84</v>
      </c>
      <c r="K17" s="73" t="s">
        <v>8</v>
      </c>
      <c r="L17" s="87" t="s">
        <v>85</v>
      </c>
    </row>
    <row r="18" spans="1:12" ht="26.4" x14ac:dyDescent="0.3">
      <c r="A18" s="146">
        <v>1</v>
      </c>
      <c r="B18" s="147" t="s">
        <v>642</v>
      </c>
      <c r="C18" s="148" t="s">
        <v>530</v>
      </c>
      <c r="D18" s="149" t="s">
        <v>106</v>
      </c>
      <c r="E18" s="149" t="s">
        <v>35</v>
      </c>
      <c r="F18" s="149" t="s">
        <v>23</v>
      </c>
      <c r="G18" s="149" t="s">
        <v>14</v>
      </c>
      <c r="H18" s="149">
        <v>7</v>
      </c>
      <c r="I18" s="148" t="s">
        <v>161</v>
      </c>
      <c r="J18" s="148" t="s">
        <v>180</v>
      </c>
      <c r="K18" s="149" t="s">
        <v>16</v>
      </c>
      <c r="L18" s="150" t="s">
        <v>640</v>
      </c>
    </row>
    <row r="19" spans="1:12" ht="40.200000000000003" thickBot="1" x14ac:dyDescent="0.35">
      <c r="A19" s="93">
        <v>2</v>
      </c>
      <c r="B19" s="88" t="s">
        <v>152</v>
      </c>
      <c r="C19" s="89" t="s">
        <v>586</v>
      </c>
      <c r="D19" s="90" t="s">
        <v>106</v>
      </c>
      <c r="E19" s="90" t="s">
        <v>12</v>
      </c>
      <c r="F19" s="91" t="s">
        <v>153</v>
      </c>
      <c r="G19" s="91" t="s">
        <v>14</v>
      </c>
      <c r="H19" s="91" t="s">
        <v>135</v>
      </c>
      <c r="I19" s="90" t="s">
        <v>97</v>
      </c>
      <c r="J19" s="90" t="s">
        <v>98</v>
      </c>
      <c r="K19" s="52" t="s">
        <v>16</v>
      </c>
      <c r="L19" s="92" t="s">
        <v>640</v>
      </c>
    </row>
    <row r="23" spans="1:12" ht="18.600000000000001" thickBot="1" x14ac:dyDescent="0.4">
      <c r="A23" s="48" t="s">
        <v>760</v>
      </c>
      <c r="B23" s="48"/>
      <c r="C23" s="48"/>
    </row>
    <row r="24" spans="1:12" ht="27" thickBot="1" x14ac:dyDescent="0.35">
      <c r="A24" s="72" t="s">
        <v>0</v>
      </c>
      <c r="B24" s="73" t="s">
        <v>81</v>
      </c>
      <c r="C24" s="73" t="s">
        <v>1</v>
      </c>
      <c r="D24" s="73" t="s">
        <v>82</v>
      </c>
      <c r="E24" s="73" t="s">
        <v>2</v>
      </c>
      <c r="F24" s="73" t="s">
        <v>3</v>
      </c>
      <c r="G24" s="73" t="s">
        <v>4</v>
      </c>
      <c r="H24" s="73" t="s">
        <v>159</v>
      </c>
      <c r="I24" s="73" t="s">
        <v>6</v>
      </c>
      <c r="J24" s="73" t="s">
        <v>84</v>
      </c>
      <c r="K24" s="73" t="s">
        <v>8</v>
      </c>
      <c r="L24" s="87" t="s">
        <v>85</v>
      </c>
    </row>
    <row r="25" spans="1:12" ht="24.75" customHeight="1" thickBot="1" x14ac:dyDescent="0.35">
      <c r="A25" s="141">
        <v>1</v>
      </c>
      <c r="B25" s="142" t="s">
        <v>22</v>
      </c>
      <c r="C25" s="143" t="s">
        <v>463</v>
      </c>
      <c r="D25" s="70" t="s">
        <v>106</v>
      </c>
      <c r="E25" s="70" t="s">
        <v>12</v>
      </c>
      <c r="F25" s="70" t="s">
        <v>23</v>
      </c>
      <c r="G25" s="70" t="s">
        <v>14</v>
      </c>
      <c r="H25" s="70" t="s">
        <v>24</v>
      </c>
      <c r="I25" s="70" t="s">
        <v>25</v>
      </c>
      <c r="J25" s="70" t="s">
        <v>25</v>
      </c>
      <c r="K25" s="70" t="s">
        <v>16</v>
      </c>
      <c r="L25" s="151">
        <v>46204</v>
      </c>
    </row>
    <row r="30" spans="1:12" ht="18.600000000000001" thickBot="1" x14ac:dyDescent="0.4">
      <c r="A30" s="48" t="s">
        <v>767</v>
      </c>
      <c r="B30" s="48"/>
      <c r="C30" s="48"/>
    </row>
    <row r="31" spans="1:12" ht="27" thickBot="1" x14ac:dyDescent="0.35">
      <c r="A31" s="72" t="s">
        <v>0</v>
      </c>
      <c r="B31" s="73" t="s">
        <v>81</v>
      </c>
      <c r="C31" s="73" t="s">
        <v>1</v>
      </c>
      <c r="D31" s="73" t="s">
        <v>82</v>
      </c>
      <c r="E31" s="73" t="s">
        <v>2</v>
      </c>
      <c r="F31" s="73" t="s">
        <v>3</v>
      </c>
      <c r="G31" s="73" t="s">
        <v>4</v>
      </c>
      <c r="H31" s="73" t="s">
        <v>159</v>
      </c>
      <c r="I31" s="73" t="s">
        <v>6</v>
      </c>
      <c r="J31" s="73" t="s">
        <v>84</v>
      </c>
      <c r="K31" s="73" t="s">
        <v>8</v>
      </c>
      <c r="L31" s="87" t="s">
        <v>85</v>
      </c>
    </row>
    <row r="32" spans="1:12" ht="34.799999999999997" thickBot="1" x14ac:dyDescent="0.35">
      <c r="A32" s="141">
        <v>1</v>
      </c>
      <c r="B32" s="142" t="s">
        <v>57</v>
      </c>
      <c r="C32" s="143" t="s">
        <v>477</v>
      </c>
      <c r="D32" s="70" t="s">
        <v>106</v>
      </c>
      <c r="E32" s="70" t="s">
        <v>12</v>
      </c>
      <c r="F32" s="70" t="s">
        <v>29</v>
      </c>
      <c r="G32" s="70" t="s">
        <v>14</v>
      </c>
      <c r="H32" s="70" t="s">
        <v>19</v>
      </c>
      <c r="I32" s="144" t="s">
        <v>58</v>
      </c>
      <c r="J32" s="144" t="s">
        <v>58</v>
      </c>
      <c r="K32" s="70" t="s">
        <v>16</v>
      </c>
      <c r="L32" s="145">
        <v>46235</v>
      </c>
    </row>
    <row r="33" spans="1:12" ht="27" thickBot="1" x14ac:dyDescent="0.35">
      <c r="A33" s="93">
        <v>2</v>
      </c>
      <c r="B33" s="45" t="s">
        <v>204</v>
      </c>
      <c r="C33" s="38" t="s">
        <v>590</v>
      </c>
      <c r="D33" s="15" t="s">
        <v>106</v>
      </c>
      <c r="E33" s="15" t="s">
        <v>12</v>
      </c>
      <c r="F33" s="15" t="s">
        <v>107</v>
      </c>
      <c r="G33" s="15" t="s">
        <v>164</v>
      </c>
      <c r="H33" s="15">
        <v>6</v>
      </c>
      <c r="I33" s="14" t="s">
        <v>165</v>
      </c>
      <c r="J33" s="14" t="s">
        <v>205</v>
      </c>
      <c r="K33" s="15" t="s">
        <v>16</v>
      </c>
      <c r="L33" s="145">
        <v>46235</v>
      </c>
    </row>
    <row r="36" spans="1:12" ht="18.600000000000001" thickBot="1" x14ac:dyDescent="0.4">
      <c r="A36" s="48" t="s">
        <v>769</v>
      </c>
      <c r="B36" s="48"/>
      <c r="C36" s="48"/>
    </row>
    <row r="37" spans="1:12" ht="27" thickBot="1" x14ac:dyDescent="0.35">
      <c r="A37" s="72" t="s">
        <v>0</v>
      </c>
      <c r="B37" s="73" t="s">
        <v>81</v>
      </c>
      <c r="C37" s="73" t="s">
        <v>1</v>
      </c>
      <c r="D37" s="73" t="s">
        <v>82</v>
      </c>
      <c r="E37" s="73" t="s">
        <v>2</v>
      </c>
      <c r="F37" s="73" t="s">
        <v>3</v>
      </c>
      <c r="G37" s="73" t="s">
        <v>4</v>
      </c>
      <c r="H37" s="73" t="s">
        <v>159</v>
      </c>
      <c r="I37" s="73" t="s">
        <v>6</v>
      </c>
      <c r="J37" s="73" t="s">
        <v>84</v>
      </c>
      <c r="K37" s="73" t="s">
        <v>8</v>
      </c>
      <c r="L37" s="87" t="s">
        <v>85</v>
      </c>
    </row>
    <row r="38" spans="1:12" ht="34.799999999999997" thickBot="1" x14ac:dyDescent="0.35">
      <c r="A38" s="141">
        <v>1</v>
      </c>
      <c r="B38" s="118" t="s">
        <v>157</v>
      </c>
      <c r="C38" s="119" t="s">
        <v>588</v>
      </c>
      <c r="D38" s="21" t="s">
        <v>106</v>
      </c>
      <c r="E38" s="21" t="s">
        <v>35</v>
      </c>
      <c r="F38" s="24" t="s">
        <v>13</v>
      </c>
      <c r="G38" s="24" t="s">
        <v>14</v>
      </c>
      <c r="H38" s="24" t="s">
        <v>135</v>
      </c>
      <c r="I38" s="21" t="s">
        <v>155</v>
      </c>
      <c r="J38" s="21" t="s">
        <v>156</v>
      </c>
      <c r="K38" s="15" t="s">
        <v>16</v>
      </c>
      <c r="L38" s="145">
        <v>46266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REKAP</vt:lpstr>
      <vt:lpstr>Lembar1</vt:lpstr>
      <vt:lpstr>STRUKTURAL</vt:lpstr>
      <vt:lpstr>FUNGSIONAL</vt:lpstr>
      <vt:lpstr>PELAKSANA</vt:lpstr>
      <vt:lpstr>PARUH WAKTU</vt:lpstr>
      <vt:lpstr>PENSIUN DAN MUTASI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AIO</dc:creator>
  <cp:lastModifiedBy>Muh Avif Arya Manggona_073</cp:lastModifiedBy>
  <cp:lastPrinted>2026-09-24T06:25:36Z</cp:lastPrinted>
  <dcterms:created xsi:type="dcterms:W3CDTF">2026-01-27T03:39:48Z</dcterms:created>
  <dcterms:modified xsi:type="dcterms:W3CDTF">2026-09-28T04:13:36Z</dcterms:modified>
</cp:coreProperties>
</file>